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OneDrive\Desktop\Chilwa Basin Update files\"/>
    </mc:Choice>
  </mc:AlternateContent>
  <xr:revisionPtr revIDLastSave="0" documentId="13_ncr:1_{4AC29BEB-051C-4ACF-A8E1-AB6A7A180B15}" xr6:coauthVersionLast="47" xr6:coauthVersionMax="47" xr10:uidLastSave="{00000000-0000-0000-0000-000000000000}"/>
  <bookViews>
    <workbookView xWindow="-98" yWindow="-98" windowWidth="28996" windowHeight="15675" firstSheet="1" activeTab="2" xr2:uid="{E52436F2-D984-4EE3-B8A0-F9D4A91B50A0}"/>
  </bookViews>
  <sheets>
    <sheet name="ChilwaBasinMonthlyDataset" sheetId="2" r:id="rId1"/>
    <sheet name="Cyclons" sheetId="8" r:id="rId2"/>
    <sheet name="CyclonSummary" sheetId="9" r:id="rId3"/>
    <sheet name="Lake_Level_Depth_Area_Volume" sheetId="5" r:id="rId4"/>
    <sheet name="Depth_Sattelite" sheetId="7" r:id="rId5"/>
    <sheet name="MeanAnnualDepthMacuiane_2011" sheetId="4" r:id="rId6"/>
    <sheet name="Depth_Kalk_1979" sheetId="3" r:id="rId7"/>
    <sheet name="TotalCatch_Njaya_2011" sheetId="6" r:id="rId8"/>
  </sheets>
  <definedNames>
    <definedName name="_xlnm._FilterDatabase" localSheetId="0" hidden="1">ChilwaBasinMonthlyDataset!$A$1:$B$733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0" i="2" l="1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B685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679" i="2"/>
</calcChain>
</file>

<file path=xl/sharedStrings.xml><?xml version="1.0" encoding="utf-8"?>
<sst xmlns="http://schemas.openxmlformats.org/spreadsheetml/2006/main" count="233" uniqueCount="150">
  <si>
    <t>Date</t>
  </si>
  <si>
    <t>LakeDepthm</t>
  </si>
  <si>
    <t>Elevation</t>
  </si>
  <si>
    <t>Year</t>
  </si>
  <si>
    <t>Level_(m)</t>
  </si>
  <si>
    <t>Depth_(m)</t>
  </si>
  <si>
    <t>Area_(km2)</t>
  </si>
  <si>
    <t>Area_(m2)</t>
  </si>
  <si>
    <t>Volume_(m3)</t>
  </si>
  <si>
    <t>TotalCatch_Ton</t>
  </si>
  <si>
    <t>Depth_m</t>
  </si>
  <si>
    <t>Table 1: Rainfall Specifications for Key Cyclone/Flood Events in Balaka, Zomba, Phalombe, Machinga (1950–2025)</t>
  </si>
  <si>
    <t>Event Name/Trigger</t>
  </si>
  <si>
    <t>Location(s)</t>
  </si>
  <si>
    <t>Rainfall Amount (mm)</t>
  </si>
  <si>
    <t>Duration</t>
  </si>
  <si>
    <t>Notes</t>
  </si>
  <si>
    <t>Reference</t>
  </si>
  <si>
    <t>Seasonal Heavy Rains (Cyclone Influence)</t>
  </si>
  <si>
    <t>Phalombe, Zomba</t>
  </si>
  <si>
    <t>150–250 (event total)</t>
  </si>
  <si>
    <t>3–5 days</t>
  </si>
  <si>
    <t>Monsoon rains amplified by distant cyclone; Phalombe debris flow.</t>
  </si>
  <si>
    <t>(Mavume et al., 2009)</t>
  </si>
  <si>
    <t>Cyclone-Triggered Debris Flow</t>
  </si>
  <si>
    <t>Phalombe (Naminjiwa)</t>
  </si>
  <si>
    <t>411 (seasonal post-event)</t>
  </si>
  <si>
    <t>~1 day (intense)</t>
  </si>
  <si>
    <t>Landslide from cyclone rains; no 24-h peak.</t>
  </si>
  <si>
    <t>(Poschinger et al., 1998)</t>
  </si>
  <si>
    <t>Tropical Storm Astride</t>
  </si>
  <si>
    <t>Zomba, Machinga</t>
  </si>
  <si>
    <t>50–80 (24-h)</t>
  </si>
  <si>
    <t>1 day</t>
  </si>
  <si>
    <t>Light basin effects; peripheral flooding.</t>
  </si>
  <si>
    <t>(OCHA, 2000)</t>
  </si>
  <si>
    <t>Cyclone Eline</t>
  </si>
  <si>
    <t>February 22–March 12, 2000</t>
  </si>
  <si>
    <t>Zomba, Phalombe, Balaka</t>
  </si>
  <si>
    <t>90–165 (event); ~120 (Zomba 24-h)</t>
  </si>
  <si>
    <t>10–14 days</t>
  </si>
  <si>
    <t>Prolonged saturation; lake overflow.</t>
  </si>
  <si>
    <t>(OCHA, 2000) (Fitchett &amp; Grab, 2014)</t>
  </si>
  <si>
    <t>Tropical Storm Delfina</t>
  </si>
  <si>
    <t>December 31, 2002–January 5, 2003</t>
  </si>
  <si>
    <t>Machinga, Balaka</t>
  </si>
  <si>
    <t>100–200 (event); ~150 (Machinga 24-h)</t>
  </si>
  <si>
    <t>5–7 days</t>
  </si>
  <si>
    <t>River overflows; lake level rise.</t>
  </si>
  <si>
    <t>(ReliefWeb, 2003)</t>
  </si>
  <si>
    <t>Cyclone Funso (with Dando)</t>
  </si>
  <si>
    <t>January 21–23, 2012</t>
  </si>
  <si>
    <t>Zomba, Machinga, Balaka</t>
  </si>
  <si>
    <t>130–250 (24-h); ~200 (Zomba)</t>
  </si>
  <si>
    <t>2–3 days</t>
  </si>
  <si>
    <t>Flash floods; record Zomba rainfall.</t>
  </si>
  <si>
    <t>(Fitchett &amp; Grab, 2014) (ReliefWeb, 2012)</t>
  </si>
  <si>
    <t>Cyclone Dineo</t>
  </si>
  <si>
    <t>February 15–17, 2017</t>
  </si>
  <si>
    <t>80–150 (event); ~120 (Phalombe)</t>
  </si>
  <si>
    <t>Localized flooding; minor basin impacts.</t>
  </si>
  <si>
    <t>(OCHA, 2017)</t>
  </si>
  <si>
    <t>Cyclone Idai</t>
  </si>
  <si>
    <t>Phalombe, Zomba, Machinga</t>
  </si>
  <si>
    <t>100–200 (24-h); ~150 (Phalombe)</t>
  </si>
  <si>
    <t>Basin-wide saturation; cholera trigger.</t>
  </si>
  <si>
    <t>(UNDRR, 2019)</t>
  </si>
  <si>
    <t>Tropical Storm Ana</t>
  </si>
  <si>
    <t>January 24–25, 2022</t>
  </si>
  <si>
    <t>Balaka, Machinga, Zomba</t>
  </si>
  <si>
    <t>150–300 (event); &gt;200 (Machinga 48-h)</t>
  </si>
  <si>
    <t>1–2 days</t>
  </si>
  <si>
    <t>Crop submergence; infrastructure loss.</t>
  </si>
  <si>
    <t>(WHO, 2022) (UNDP, 2022)</t>
  </si>
  <si>
    <t>Cyclone Gombe</t>
  </si>
  <si>
    <t>&gt;100 (24-h); ~150 (Zomba)</t>
  </si>
  <si>
    <t>Intense; post-flood cholera surge.</t>
  </si>
  <si>
    <t>(FloodList, 2022) (Rockefeller Foundation, 2022)</t>
  </si>
  <si>
    <t>Cyclone Freddy</t>
  </si>
  <si>
    <t>February 24–March 14, 2023</t>
  </si>
  <si>
    <t>Phalombe, Machinga, Balaka</t>
  </si>
  <si>
    <t>500–900 (event); 200–400 (Phalombe 24–48 h)</t>
  </si>
  <si>
    <t>~3 weeks</t>
  </si>
  <si>
    <t>Record flooding; six months’ rain.</t>
  </si>
  <si>
    <t>(UNDRR, 2023) (WMO, 2023)</t>
  </si>
  <si>
    <t>Tropical Storm Filipo</t>
  </si>
  <si>
    <t>March 10–14, 2024</t>
  </si>
  <si>
    <t>80–120 (event); ~100 (Zomba 24-h)</t>
  </si>
  <si>
    <t>3–4 days</t>
  </si>
  <si>
    <t>Moderate; minor basin overflows.</t>
  </si>
  <si>
    <t>(WorldData, 2025)</t>
  </si>
  <si>
    <t>Cyclone Chido</t>
  </si>
  <si>
    <t>December 14–15, 2024</t>
  </si>
  <si>
    <t>Mangochi (Machinga), Phalombe</t>
  </si>
  <si>
    <t>100–150 (24-h); ~120 (Mangochi)</t>
  </si>
  <si>
    <t>Winds; localized flooding.</t>
  </si>
  <si>
    <t>(OCHA, 2024)</t>
  </si>
  <si>
    <t>Cyclone Dikeledi</t>
  </si>
  <si>
    <t>January 13–14, 2025</t>
  </si>
  <si>
    <t>120–180 (event); ~140 (Phalombe 24-h)</t>
  </si>
  <si>
    <t>Several days</t>
  </si>
  <si>
    <t>Riverine floods; enhanced rains.</t>
  </si>
  <si>
    <t>(Newsweek, 2025)</t>
  </si>
  <si>
    <t>Tropical Cyclone Jude</t>
  </si>
  <si>
    <t>March 10–16, 2025</t>
  </si>
  <si>
    <t>Balaka, Machinga, Phalombe</t>
  </si>
  <si>
    <t>150–250 (event); &gt;150 (Balaka 48-h)</t>
  </si>
  <si>
    <t>5–6 days</t>
  </si>
  <si>
    <t>Infrastructure strain; no deaths.</t>
  </si>
  <si>
    <t>(OCHA, 2025) (MetMalawi, 2025)</t>
  </si>
  <si>
    <t>Table 2: Key Impacts of Cyclone/Flood Events on Lake Chilwa Basin (1950–2025)</t>
  </si>
  <si>
    <t>Event Name</t>
  </si>
  <si>
    <t>Date of Impact</t>
  </si>
  <si>
    <t>Duration/Span</t>
  </si>
  <si>
    <t>Key Impacts (People Affected, Deaths, Displaced, Costs, etc.)</t>
  </si>
  <si>
    <t>Affected Lake Chilwa Basin?</t>
  </si>
  <si>
    <t>Seasonal Heavy Rains</t>
  </si>
  <si>
    <t>~50,000 affected; 100+ deaths (est.); Phalombe villages buried; agricultural losses.</t>
  </si>
  <si>
    <t>Yes (Phalombe debris flow)</t>
  </si>
  <si>
    <t>85,000–130,000 affected; 700–1,000 deaths; villages destroyed; ~$50 million damages.</t>
  </si>
  <si>
    <t>Yes (Phalombe catchment)</t>
  </si>
  <si>
    <t>&lt;1,000 affected; light flooding; no deaths.</t>
  </si>
  <si>
    <t>Partial (Zomba/Machinga)</t>
  </si>
  <si>
    <t>~2 weeks</t>
  </si>
  <si>
    <t>300,000+ affected; ~20 deaths; 50,000 displaced; ~$100 million Malawi damages.</t>
  </si>
  <si>
    <t>Yes (Zomba/Phalombe; lake rise)</t>
  </si>
  <si>
    <t>~1 week</t>
  </si>
  <si>
    <t>10,000+ affected; 8 deaths; 5,000 displaced; crop/road damage.</t>
  </si>
  <si>
    <t>Yes (Machinga/Balaka; lake rise)</t>
  </si>
  <si>
    <t>37,000 affected; 10 deaths; 12,000 displaced; ~$20 million losses.</t>
  </si>
  <si>
    <t>Yes (Zomba/Machinga floods)</t>
  </si>
  <si>
    <t>5,000+ affected; 2 deaths; 1,000 displaced; minor damage.</t>
  </si>
  <si>
    <t>Yes (Phalombe/Zomba)</t>
  </si>
  <si>
    <t>868,900 affected; 59 deaths; 86,980 displaced; ~$50 million Malawi damages; cholera outbreak.</t>
  </si>
  <si>
    <t>Yes (Phalombe flooding)</t>
  </si>
  <si>
    <t>994,967 affected; 46 deaths; crop/infra damage; cholera surge.</t>
  </si>
  <si>
    <t>Yes (southern districts)</t>
  </si>
  <si>
    <t>Hundreds displaced; 7 deaths; house/road damage; cholera surge.</t>
  </si>
  <si>
    <t>Yes (southern flooding)</t>
  </si>
  <si>
    <t>2.3 million affected; 679–1,218 deaths; $506.7 million damages.</t>
  </si>
  <si>
    <t>Yes (Phalombe severe)</t>
  </si>
  <si>
    <t>~10,000 affected; 2 deaths; minor crop losses.</t>
  </si>
  <si>
    <t>Yes (Zomba/Machinga)</t>
  </si>
  <si>
    <t>34,000 affected; 7 deaths; 34,000+ households impacted.</t>
  </si>
  <si>
    <t>Yes (Mangochi/Phalombe)</t>
  </si>
  <si>
    <t>~35,000 impacted; regional displacement; infra damage.</t>
  </si>
  <si>
    <t>Yes (Phalombe rains)</t>
  </si>
  <si>
    <t>20,650 affected; 4,883 displaced; 272 schools, 43 water systems damaged.</t>
  </si>
  <si>
    <t>Yes (southern basin)</t>
  </si>
  <si>
    <t>Cyclone/Event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</si>
</sst>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yyyy\-mm\-dd\ hh:mm:ss"/>
    <numFmt numFmtId="165" formatCode="_-* #,##0_-;\-* #,##0_-;_-* &quot;-&quot;??_-;_-@_-"/>
    <numFmt numFmtId="166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0" borderId="0" xfId="0" applyFont="1"/>
    <xf numFmtId="43" fontId="0" fillId="0" borderId="0" xfId="1" applyFon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2" fontId="0" fillId="4" borderId="0" xfId="0" applyNumberFormat="1" applyFill="1"/>
    <xf numFmtId="2" fontId="0" fillId="4" borderId="0" xfId="1" applyNumberFormat="1" applyFont="1" applyFill="1"/>
    <xf numFmtId="166" fontId="0" fillId="0" borderId="0" xfId="1" applyNumberFormat="1" applyFont="1"/>
    <xf numFmtId="166" fontId="0" fillId="0" borderId="0" xfId="0" applyNumberFormat="1"/>
    <xf numFmtId="0" fontId="4" fillId="2" borderId="0" xfId="0" applyFont="1" applyFill="1"/>
    <xf numFmtId="0" fontId="0" fillId="4" borderId="0" xfId="0" applyFill="1"/>
    <xf numFmtId="165" fontId="0" fillId="4" borderId="0" xfId="1" applyNumberFormat="1" applyFont="1" applyFill="1"/>
    <xf numFmtId="0" fontId="5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" fontId="0" fillId="0" borderId="0" xfId="0" applyNumberFormat="1" applyAlignment="1">
      <alignment vertical="center" wrapText="1"/>
    </xf>
    <xf numFmtId="0" fontId="6" fillId="0" borderId="0" xfId="2" applyAlignment="1">
      <alignment vertical="center" wrapText="1"/>
    </xf>
    <xf numFmtId="15" fontId="0" fillId="0" borderId="0" xfId="0" applyNumberFormat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ChilwaBasinMonthlyDataset!$B$1</c:f>
              <c:strCache>
                <c:ptCount val="1"/>
                <c:pt idx="0">
                  <c:v>LakeDepthm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ChilwaBasinMonthlyDataset!$A$2:$A$764</c:f>
              <c:numCache>
                <c:formatCode>yyyy\-mm\-dd\ hh:mm:ss</c:formatCode>
                <c:ptCount val="763"/>
                <c:pt idx="0">
                  <c:v>22647</c:v>
                </c:pt>
                <c:pt idx="1">
                  <c:v>22678</c:v>
                </c:pt>
                <c:pt idx="2">
                  <c:v>22706</c:v>
                </c:pt>
                <c:pt idx="3">
                  <c:v>22737</c:v>
                </c:pt>
                <c:pt idx="4">
                  <c:v>22767</c:v>
                </c:pt>
                <c:pt idx="5">
                  <c:v>22798</c:v>
                </c:pt>
                <c:pt idx="6">
                  <c:v>22828</c:v>
                </c:pt>
                <c:pt idx="7">
                  <c:v>22859</c:v>
                </c:pt>
                <c:pt idx="8">
                  <c:v>22890</c:v>
                </c:pt>
                <c:pt idx="9">
                  <c:v>22920</c:v>
                </c:pt>
                <c:pt idx="10">
                  <c:v>22951</c:v>
                </c:pt>
                <c:pt idx="11">
                  <c:v>22981</c:v>
                </c:pt>
                <c:pt idx="12">
                  <c:v>23012</c:v>
                </c:pt>
                <c:pt idx="13">
                  <c:v>23043</c:v>
                </c:pt>
                <c:pt idx="14">
                  <c:v>23071</c:v>
                </c:pt>
                <c:pt idx="15">
                  <c:v>23102</c:v>
                </c:pt>
                <c:pt idx="16">
                  <c:v>23132</c:v>
                </c:pt>
                <c:pt idx="17">
                  <c:v>23163</c:v>
                </c:pt>
                <c:pt idx="18">
                  <c:v>23193</c:v>
                </c:pt>
                <c:pt idx="19">
                  <c:v>23224</c:v>
                </c:pt>
                <c:pt idx="20">
                  <c:v>23255</c:v>
                </c:pt>
                <c:pt idx="21">
                  <c:v>23285</c:v>
                </c:pt>
                <c:pt idx="22">
                  <c:v>23316</c:v>
                </c:pt>
                <c:pt idx="23">
                  <c:v>23346</c:v>
                </c:pt>
                <c:pt idx="24">
                  <c:v>23377</c:v>
                </c:pt>
                <c:pt idx="25">
                  <c:v>23408</c:v>
                </c:pt>
                <c:pt idx="26">
                  <c:v>23437</c:v>
                </c:pt>
                <c:pt idx="27">
                  <c:v>23468</c:v>
                </c:pt>
                <c:pt idx="28">
                  <c:v>23498</c:v>
                </c:pt>
                <c:pt idx="29">
                  <c:v>23529</c:v>
                </c:pt>
                <c:pt idx="30">
                  <c:v>23559</c:v>
                </c:pt>
                <c:pt idx="31">
                  <c:v>23590</c:v>
                </c:pt>
                <c:pt idx="32">
                  <c:v>23621</c:v>
                </c:pt>
                <c:pt idx="33">
                  <c:v>23651</c:v>
                </c:pt>
                <c:pt idx="34">
                  <c:v>23682</c:v>
                </c:pt>
                <c:pt idx="35">
                  <c:v>23712</c:v>
                </c:pt>
                <c:pt idx="36">
                  <c:v>23743</c:v>
                </c:pt>
                <c:pt idx="37">
                  <c:v>23774</c:v>
                </c:pt>
                <c:pt idx="38">
                  <c:v>23802</c:v>
                </c:pt>
                <c:pt idx="39">
                  <c:v>23833</c:v>
                </c:pt>
                <c:pt idx="40">
                  <c:v>23863</c:v>
                </c:pt>
                <c:pt idx="41">
                  <c:v>23894</c:v>
                </c:pt>
                <c:pt idx="42">
                  <c:v>23924</c:v>
                </c:pt>
                <c:pt idx="43">
                  <c:v>23955</c:v>
                </c:pt>
                <c:pt idx="44">
                  <c:v>23986</c:v>
                </c:pt>
                <c:pt idx="45">
                  <c:v>24016</c:v>
                </c:pt>
                <c:pt idx="46">
                  <c:v>24047</c:v>
                </c:pt>
                <c:pt idx="47">
                  <c:v>24077</c:v>
                </c:pt>
                <c:pt idx="48">
                  <c:v>24108</c:v>
                </c:pt>
                <c:pt idx="49">
                  <c:v>24139</c:v>
                </c:pt>
                <c:pt idx="50">
                  <c:v>24167</c:v>
                </c:pt>
                <c:pt idx="51">
                  <c:v>24198</c:v>
                </c:pt>
                <c:pt idx="52">
                  <c:v>24228</c:v>
                </c:pt>
                <c:pt idx="53">
                  <c:v>24259</c:v>
                </c:pt>
                <c:pt idx="54">
                  <c:v>24289</c:v>
                </c:pt>
                <c:pt idx="55">
                  <c:v>24320</c:v>
                </c:pt>
                <c:pt idx="56">
                  <c:v>24351</c:v>
                </c:pt>
                <c:pt idx="57">
                  <c:v>24381</c:v>
                </c:pt>
                <c:pt idx="58">
                  <c:v>24412</c:v>
                </c:pt>
                <c:pt idx="59">
                  <c:v>24442</c:v>
                </c:pt>
                <c:pt idx="60">
                  <c:v>24473</c:v>
                </c:pt>
                <c:pt idx="61">
                  <c:v>24504</c:v>
                </c:pt>
                <c:pt idx="62">
                  <c:v>24532</c:v>
                </c:pt>
                <c:pt idx="63">
                  <c:v>24563</c:v>
                </c:pt>
                <c:pt idx="64">
                  <c:v>24593</c:v>
                </c:pt>
                <c:pt idx="65">
                  <c:v>24624</c:v>
                </c:pt>
                <c:pt idx="66">
                  <c:v>24654</c:v>
                </c:pt>
                <c:pt idx="67">
                  <c:v>24685</c:v>
                </c:pt>
                <c:pt idx="68">
                  <c:v>24716</c:v>
                </c:pt>
                <c:pt idx="69">
                  <c:v>24746</c:v>
                </c:pt>
                <c:pt idx="70">
                  <c:v>24777</c:v>
                </c:pt>
                <c:pt idx="71">
                  <c:v>24807</c:v>
                </c:pt>
                <c:pt idx="72">
                  <c:v>24838</c:v>
                </c:pt>
                <c:pt idx="73">
                  <c:v>24869</c:v>
                </c:pt>
                <c:pt idx="74">
                  <c:v>24898</c:v>
                </c:pt>
                <c:pt idx="75">
                  <c:v>24929</c:v>
                </c:pt>
                <c:pt idx="76">
                  <c:v>24959</c:v>
                </c:pt>
                <c:pt idx="77">
                  <c:v>24990</c:v>
                </c:pt>
                <c:pt idx="78">
                  <c:v>25020</c:v>
                </c:pt>
                <c:pt idx="79">
                  <c:v>25051</c:v>
                </c:pt>
                <c:pt idx="80">
                  <c:v>25082</c:v>
                </c:pt>
                <c:pt idx="81">
                  <c:v>25112</c:v>
                </c:pt>
                <c:pt idx="82">
                  <c:v>25143</c:v>
                </c:pt>
                <c:pt idx="83">
                  <c:v>25173</c:v>
                </c:pt>
                <c:pt idx="84">
                  <c:v>25204</c:v>
                </c:pt>
                <c:pt idx="85">
                  <c:v>25235</c:v>
                </c:pt>
                <c:pt idx="86">
                  <c:v>25263</c:v>
                </c:pt>
                <c:pt idx="87">
                  <c:v>25294</c:v>
                </c:pt>
                <c:pt idx="88">
                  <c:v>25324</c:v>
                </c:pt>
                <c:pt idx="89">
                  <c:v>25355</c:v>
                </c:pt>
                <c:pt idx="90">
                  <c:v>25385</c:v>
                </c:pt>
                <c:pt idx="91">
                  <c:v>25416</c:v>
                </c:pt>
                <c:pt idx="92">
                  <c:v>25447</c:v>
                </c:pt>
                <c:pt idx="93">
                  <c:v>25477</c:v>
                </c:pt>
                <c:pt idx="94">
                  <c:v>25508</c:v>
                </c:pt>
                <c:pt idx="95">
                  <c:v>25538</c:v>
                </c:pt>
                <c:pt idx="96">
                  <c:v>25569</c:v>
                </c:pt>
                <c:pt idx="97">
                  <c:v>25600</c:v>
                </c:pt>
                <c:pt idx="98">
                  <c:v>25628</c:v>
                </c:pt>
                <c:pt idx="99">
                  <c:v>25659</c:v>
                </c:pt>
                <c:pt idx="100">
                  <c:v>25689</c:v>
                </c:pt>
                <c:pt idx="101">
                  <c:v>25720</c:v>
                </c:pt>
                <c:pt idx="102">
                  <c:v>25750</c:v>
                </c:pt>
                <c:pt idx="103">
                  <c:v>25781</c:v>
                </c:pt>
                <c:pt idx="104">
                  <c:v>25812</c:v>
                </c:pt>
                <c:pt idx="105">
                  <c:v>25842</c:v>
                </c:pt>
                <c:pt idx="106">
                  <c:v>25873</c:v>
                </c:pt>
                <c:pt idx="107">
                  <c:v>25903</c:v>
                </c:pt>
                <c:pt idx="108">
                  <c:v>25934</c:v>
                </c:pt>
                <c:pt idx="109">
                  <c:v>25965</c:v>
                </c:pt>
                <c:pt idx="110">
                  <c:v>25993</c:v>
                </c:pt>
                <c:pt idx="111">
                  <c:v>26024</c:v>
                </c:pt>
                <c:pt idx="112">
                  <c:v>26054</c:v>
                </c:pt>
                <c:pt idx="113">
                  <c:v>26085</c:v>
                </c:pt>
                <c:pt idx="114">
                  <c:v>26115</c:v>
                </c:pt>
                <c:pt idx="115">
                  <c:v>26146</c:v>
                </c:pt>
                <c:pt idx="116">
                  <c:v>26177</c:v>
                </c:pt>
                <c:pt idx="117">
                  <c:v>26207</c:v>
                </c:pt>
                <c:pt idx="118">
                  <c:v>26238</c:v>
                </c:pt>
                <c:pt idx="119">
                  <c:v>26268</c:v>
                </c:pt>
                <c:pt idx="120">
                  <c:v>26299</c:v>
                </c:pt>
                <c:pt idx="121">
                  <c:v>26330</c:v>
                </c:pt>
                <c:pt idx="122">
                  <c:v>26359</c:v>
                </c:pt>
                <c:pt idx="123">
                  <c:v>26390</c:v>
                </c:pt>
                <c:pt idx="124">
                  <c:v>26420</c:v>
                </c:pt>
                <c:pt idx="125">
                  <c:v>26451</c:v>
                </c:pt>
                <c:pt idx="126">
                  <c:v>26481</c:v>
                </c:pt>
                <c:pt idx="127">
                  <c:v>26512</c:v>
                </c:pt>
                <c:pt idx="128">
                  <c:v>26543</c:v>
                </c:pt>
                <c:pt idx="129">
                  <c:v>26573</c:v>
                </c:pt>
                <c:pt idx="130">
                  <c:v>26604</c:v>
                </c:pt>
                <c:pt idx="131">
                  <c:v>26634</c:v>
                </c:pt>
                <c:pt idx="132">
                  <c:v>26665</c:v>
                </c:pt>
                <c:pt idx="133">
                  <c:v>26696</c:v>
                </c:pt>
                <c:pt idx="134">
                  <c:v>26724</c:v>
                </c:pt>
                <c:pt idx="135">
                  <c:v>26755</c:v>
                </c:pt>
                <c:pt idx="136">
                  <c:v>26785</c:v>
                </c:pt>
                <c:pt idx="137">
                  <c:v>26816</c:v>
                </c:pt>
                <c:pt idx="138">
                  <c:v>26846</c:v>
                </c:pt>
                <c:pt idx="139">
                  <c:v>26877</c:v>
                </c:pt>
                <c:pt idx="140">
                  <c:v>26908</c:v>
                </c:pt>
                <c:pt idx="141">
                  <c:v>26938</c:v>
                </c:pt>
                <c:pt idx="142">
                  <c:v>26969</c:v>
                </c:pt>
                <c:pt idx="143">
                  <c:v>26999</c:v>
                </c:pt>
                <c:pt idx="144">
                  <c:v>27030</c:v>
                </c:pt>
                <c:pt idx="145">
                  <c:v>27061</c:v>
                </c:pt>
                <c:pt idx="146">
                  <c:v>27089</c:v>
                </c:pt>
                <c:pt idx="147">
                  <c:v>27120</c:v>
                </c:pt>
                <c:pt idx="148">
                  <c:v>27150</c:v>
                </c:pt>
                <c:pt idx="149">
                  <c:v>27181</c:v>
                </c:pt>
                <c:pt idx="150">
                  <c:v>27211</c:v>
                </c:pt>
                <c:pt idx="151">
                  <c:v>27242</c:v>
                </c:pt>
                <c:pt idx="152">
                  <c:v>27273</c:v>
                </c:pt>
                <c:pt idx="153">
                  <c:v>27303</c:v>
                </c:pt>
                <c:pt idx="154">
                  <c:v>27334</c:v>
                </c:pt>
                <c:pt idx="155">
                  <c:v>27364</c:v>
                </c:pt>
                <c:pt idx="156">
                  <c:v>27395</c:v>
                </c:pt>
                <c:pt idx="157">
                  <c:v>27426</c:v>
                </c:pt>
                <c:pt idx="158">
                  <c:v>27454</c:v>
                </c:pt>
                <c:pt idx="159">
                  <c:v>27485</c:v>
                </c:pt>
                <c:pt idx="160">
                  <c:v>27515</c:v>
                </c:pt>
                <c:pt idx="161">
                  <c:v>27546</c:v>
                </c:pt>
                <c:pt idx="162">
                  <c:v>27576</c:v>
                </c:pt>
                <c:pt idx="163">
                  <c:v>27607</c:v>
                </c:pt>
                <c:pt idx="164">
                  <c:v>27638</c:v>
                </c:pt>
                <c:pt idx="165">
                  <c:v>27668</c:v>
                </c:pt>
                <c:pt idx="166">
                  <c:v>27699</c:v>
                </c:pt>
                <c:pt idx="167">
                  <c:v>27729</c:v>
                </c:pt>
                <c:pt idx="168">
                  <c:v>27760</c:v>
                </c:pt>
                <c:pt idx="169">
                  <c:v>27791</c:v>
                </c:pt>
                <c:pt idx="170">
                  <c:v>27820</c:v>
                </c:pt>
                <c:pt idx="171">
                  <c:v>27851</c:v>
                </c:pt>
                <c:pt idx="172">
                  <c:v>27881</c:v>
                </c:pt>
                <c:pt idx="173">
                  <c:v>27912</c:v>
                </c:pt>
                <c:pt idx="174">
                  <c:v>27942</c:v>
                </c:pt>
                <c:pt idx="175">
                  <c:v>27973</c:v>
                </c:pt>
                <c:pt idx="176">
                  <c:v>28004</c:v>
                </c:pt>
                <c:pt idx="177">
                  <c:v>28034</c:v>
                </c:pt>
                <c:pt idx="178">
                  <c:v>28065</c:v>
                </c:pt>
                <c:pt idx="179">
                  <c:v>28095</c:v>
                </c:pt>
                <c:pt idx="180">
                  <c:v>28126</c:v>
                </c:pt>
                <c:pt idx="181">
                  <c:v>28157</c:v>
                </c:pt>
                <c:pt idx="182">
                  <c:v>28185</c:v>
                </c:pt>
                <c:pt idx="183">
                  <c:v>28216</c:v>
                </c:pt>
                <c:pt idx="184">
                  <c:v>28246</c:v>
                </c:pt>
                <c:pt idx="185">
                  <c:v>28277</c:v>
                </c:pt>
                <c:pt idx="186">
                  <c:v>28307</c:v>
                </c:pt>
                <c:pt idx="187">
                  <c:v>28338</c:v>
                </c:pt>
                <c:pt idx="188">
                  <c:v>28369</c:v>
                </c:pt>
                <c:pt idx="189">
                  <c:v>28399</c:v>
                </c:pt>
                <c:pt idx="190">
                  <c:v>28430</c:v>
                </c:pt>
                <c:pt idx="191">
                  <c:v>28460</c:v>
                </c:pt>
                <c:pt idx="192">
                  <c:v>28491</c:v>
                </c:pt>
                <c:pt idx="193">
                  <c:v>28522</c:v>
                </c:pt>
                <c:pt idx="194">
                  <c:v>28550</c:v>
                </c:pt>
                <c:pt idx="195">
                  <c:v>28581</c:v>
                </c:pt>
                <c:pt idx="196">
                  <c:v>28611</c:v>
                </c:pt>
                <c:pt idx="197">
                  <c:v>28642</c:v>
                </c:pt>
                <c:pt idx="198">
                  <c:v>28672</c:v>
                </c:pt>
                <c:pt idx="199">
                  <c:v>28703</c:v>
                </c:pt>
                <c:pt idx="200">
                  <c:v>28734</c:v>
                </c:pt>
                <c:pt idx="201">
                  <c:v>28764</c:v>
                </c:pt>
                <c:pt idx="202">
                  <c:v>28795</c:v>
                </c:pt>
                <c:pt idx="203">
                  <c:v>28825</c:v>
                </c:pt>
                <c:pt idx="204">
                  <c:v>28856</c:v>
                </c:pt>
                <c:pt idx="205">
                  <c:v>28887</c:v>
                </c:pt>
                <c:pt idx="206">
                  <c:v>28915</c:v>
                </c:pt>
                <c:pt idx="207">
                  <c:v>28946</c:v>
                </c:pt>
                <c:pt idx="208">
                  <c:v>28976</c:v>
                </c:pt>
                <c:pt idx="209">
                  <c:v>29007</c:v>
                </c:pt>
                <c:pt idx="210">
                  <c:v>29037</c:v>
                </c:pt>
                <c:pt idx="211">
                  <c:v>29068</c:v>
                </c:pt>
                <c:pt idx="212">
                  <c:v>29099</c:v>
                </c:pt>
                <c:pt idx="213">
                  <c:v>29129</c:v>
                </c:pt>
                <c:pt idx="214">
                  <c:v>29160</c:v>
                </c:pt>
                <c:pt idx="215">
                  <c:v>29190</c:v>
                </c:pt>
                <c:pt idx="216">
                  <c:v>29221</c:v>
                </c:pt>
                <c:pt idx="217">
                  <c:v>29252</c:v>
                </c:pt>
                <c:pt idx="218">
                  <c:v>29281</c:v>
                </c:pt>
                <c:pt idx="219">
                  <c:v>29312</c:v>
                </c:pt>
                <c:pt idx="220">
                  <c:v>29342</c:v>
                </c:pt>
                <c:pt idx="221">
                  <c:v>29373</c:v>
                </c:pt>
                <c:pt idx="222">
                  <c:v>29403</c:v>
                </c:pt>
                <c:pt idx="223">
                  <c:v>29434</c:v>
                </c:pt>
                <c:pt idx="224">
                  <c:v>29465</c:v>
                </c:pt>
                <c:pt idx="225">
                  <c:v>29495</c:v>
                </c:pt>
                <c:pt idx="226">
                  <c:v>29526</c:v>
                </c:pt>
                <c:pt idx="227">
                  <c:v>29556</c:v>
                </c:pt>
                <c:pt idx="228">
                  <c:v>29587</c:v>
                </c:pt>
                <c:pt idx="229">
                  <c:v>29618</c:v>
                </c:pt>
                <c:pt idx="230">
                  <c:v>29646</c:v>
                </c:pt>
                <c:pt idx="231">
                  <c:v>29677</c:v>
                </c:pt>
                <c:pt idx="232">
                  <c:v>29707</c:v>
                </c:pt>
                <c:pt idx="233">
                  <c:v>29738</c:v>
                </c:pt>
                <c:pt idx="234">
                  <c:v>29768</c:v>
                </c:pt>
                <c:pt idx="235">
                  <c:v>29799</c:v>
                </c:pt>
                <c:pt idx="236">
                  <c:v>29830</c:v>
                </c:pt>
                <c:pt idx="237">
                  <c:v>29860</c:v>
                </c:pt>
                <c:pt idx="238">
                  <c:v>29891</c:v>
                </c:pt>
                <c:pt idx="239">
                  <c:v>29921</c:v>
                </c:pt>
                <c:pt idx="240">
                  <c:v>29952</c:v>
                </c:pt>
                <c:pt idx="241">
                  <c:v>29983</c:v>
                </c:pt>
                <c:pt idx="242">
                  <c:v>30011</c:v>
                </c:pt>
                <c:pt idx="243">
                  <c:v>30042</c:v>
                </c:pt>
                <c:pt idx="244">
                  <c:v>30072</c:v>
                </c:pt>
                <c:pt idx="245">
                  <c:v>30103</c:v>
                </c:pt>
                <c:pt idx="246">
                  <c:v>30133</c:v>
                </c:pt>
                <c:pt idx="247">
                  <c:v>30164</c:v>
                </c:pt>
                <c:pt idx="248">
                  <c:v>30195</c:v>
                </c:pt>
                <c:pt idx="249">
                  <c:v>30225</c:v>
                </c:pt>
                <c:pt idx="250">
                  <c:v>30256</c:v>
                </c:pt>
                <c:pt idx="251">
                  <c:v>30286</c:v>
                </c:pt>
                <c:pt idx="252">
                  <c:v>30317</c:v>
                </c:pt>
                <c:pt idx="253">
                  <c:v>30348</c:v>
                </c:pt>
                <c:pt idx="254">
                  <c:v>30376</c:v>
                </c:pt>
                <c:pt idx="255">
                  <c:v>30407</c:v>
                </c:pt>
                <c:pt idx="256">
                  <c:v>30437</c:v>
                </c:pt>
                <c:pt idx="257">
                  <c:v>30468</c:v>
                </c:pt>
                <c:pt idx="258">
                  <c:v>30498</c:v>
                </c:pt>
                <c:pt idx="259">
                  <c:v>30529</c:v>
                </c:pt>
                <c:pt idx="260">
                  <c:v>30560</c:v>
                </c:pt>
                <c:pt idx="261">
                  <c:v>30590</c:v>
                </c:pt>
                <c:pt idx="262">
                  <c:v>30621</c:v>
                </c:pt>
                <c:pt idx="263">
                  <c:v>30651</c:v>
                </c:pt>
                <c:pt idx="264">
                  <c:v>30682</c:v>
                </c:pt>
                <c:pt idx="265">
                  <c:v>30713</c:v>
                </c:pt>
                <c:pt idx="266">
                  <c:v>30742</c:v>
                </c:pt>
                <c:pt idx="267">
                  <c:v>30773</c:v>
                </c:pt>
                <c:pt idx="268">
                  <c:v>30803</c:v>
                </c:pt>
                <c:pt idx="269">
                  <c:v>30834</c:v>
                </c:pt>
                <c:pt idx="270">
                  <c:v>30864</c:v>
                </c:pt>
                <c:pt idx="271">
                  <c:v>30895</c:v>
                </c:pt>
                <c:pt idx="272">
                  <c:v>30926</c:v>
                </c:pt>
                <c:pt idx="273">
                  <c:v>30956</c:v>
                </c:pt>
                <c:pt idx="274">
                  <c:v>30987</c:v>
                </c:pt>
                <c:pt idx="275">
                  <c:v>31017</c:v>
                </c:pt>
                <c:pt idx="276">
                  <c:v>31048</c:v>
                </c:pt>
                <c:pt idx="277">
                  <c:v>31079</c:v>
                </c:pt>
                <c:pt idx="278">
                  <c:v>31107</c:v>
                </c:pt>
                <c:pt idx="279">
                  <c:v>31138</c:v>
                </c:pt>
                <c:pt idx="280">
                  <c:v>31168</c:v>
                </c:pt>
                <c:pt idx="281">
                  <c:v>31199</c:v>
                </c:pt>
                <c:pt idx="282">
                  <c:v>31229</c:v>
                </c:pt>
                <c:pt idx="283">
                  <c:v>31260</c:v>
                </c:pt>
                <c:pt idx="284">
                  <c:v>31291</c:v>
                </c:pt>
                <c:pt idx="285">
                  <c:v>31321</c:v>
                </c:pt>
                <c:pt idx="286">
                  <c:v>31352</c:v>
                </c:pt>
                <c:pt idx="287">
                  <c:v>31382</c:v>
                </c:pt>
                <c:pt idx="288">
                  <c:v>31413</c:v>
                </c:pt>
                <c:pt idx="289">
                  <c:v>31444</c:v>
                </c:pt>
                <c:pt idx="290">
                  <c:v>31472</c:v>
                </c:pt>
                <c:pt idx="291">
                  <c:v>31503</c:v>
                </c:pt>
                <c:pt idx="292">
                  <c:v>31533</c:v>
                </c:pt>
                <c:pt idx="293">
                  <c:v>31564</c:v>
                </c:pt>
                <c:pt idx="294">
                  <c:v>31594</c:v>
                </c:pt>
                <c:pt idx="295">
                  <c:v>31625</c:v>
                </c:pt>
                <c:pt idx="296">
                  <c:v>31656</c:v>
                </c:pt>
                <c:pt idx="297">
                  <c:v>31686</c:v>
                </c:pt>
                <c:pt idx="298">
                  <c:v>31717</c:v>
                </c:pt>
                <c:pt idx="299">
                  <c:v>31747</c:v>
                </c:pt>
                <c:pt idx="300">
                  <c:v>31778</c:v>
                </c:pt>
                <c:pt idx="301">
                  <c:v>31809</c:v>
                </c:pt>
                <c:pt idx="302">
                  <c:v>31837</c:v>
                </c:pt>
                <c:pt idx="303">
                  <c:v>31868</c:v>
                </c:pt>
                <c:pt idx="304">
                  <c:v>31898</c:v>
                </c:pt>
                <c:pt idx="305">
                  <c:v>31929</c:v>
                </c:pt>
                <c:pt idx="306">
                  <c:v>31959</c:v>
                </c:pt>
                <c:pt idx="307">
                  <c:v>31990</c:v>
                </c:pt>
                <c:pt idx="308">
                  <c:v>32021</c:v>
                </c:pt>
                <c:pt idx="309">
                  <c:v>32051</c:v>
                </c:pt>
                <c:pt idx="310">
                  <c:v>32082</c:v>
                </c:pt>
                <c:pt idx="311">
                  <c:v>32112</c:v>
                </c:pt>
                <c:pt idx="312">
                  <c:v>32143</c:v>
                </c:pt>
                <c:pt idx="313">
                  <c:v>32174</c:v>
                </c:pt>
                <c:pt idx="314">
                  <c:v>32203</c:v>
                </c:pt>
                <c:pt idx="315">
                  <c:v>32234</c:v>
                </c:pt>
                <c:pt idx="316">
                  <c:v>32264</c:v>
                </c:pt>
                <c:pt idx="317">
                  <c:v>32295</c:v>
                </c:pt>
                <c:pt idx="318">
                  <c:v>32325</c:v>
                </c:pt>
                <c:pt idx="319">
                  <c:v>32356</c:v>
                </c:pt>
                <c:pt idx="320">
                  <c:v>32387</c:v>
                </c:pt>
                <c:pt idx="321">
                  <c:v>32417</c:v>
                </c:pt>
                <c:pt idx="322">
                  <c:v>32448</c:v>
                </c:pt>
                <c:pt idx="323">
                  <c:v>32478</c:v>
                </c:pt>
                <c:pt idx="324">
                  <c:v>32509</c:v>
                </c:pt>
                <c:pt idx="325">
                  <c:v>32540</c:v>
                </c:pt>
                <c:pt idx="326">
                  <c:v>32568</c:v>
                </c:pt>
                <c:pt idx="327">
                  <c:v>32599</c:v>
                </c:pt>
                <c:pt idx="328">
                  <c:v>32629</c:v>
                </c:pt>
                <c:pt idx="329">
                  <c:v>32660</c:v>
                </c:pt>
                <c:pt idx="330">
                  <c:v>32690</c:v>
                </c:pt>
                <c:pt idx="331">
                  <c:v>32721</c:v>
                </c:pt>
                <c:pt idx="332">
                  <c:v>32752</c:v>
                </c:pt>
                <c:pt idx="333">
                  <c:v>32782</c:v>
                </c:pt>
                <c:pt idx="334">
                  <c:v>32813</c:v>
                </c:pt>
                <c:pt idx="335">
                  <c:v>32843</c:v>
                </c:pt>
                <c:pt idx="336">
                  <c:v>32874</c:v>
                </c:pt>
                <c:pt idx="337">
                  <c:v>32905</c:v>
                </c:pt>
                <c:pt idx="338">
                  <c:v>32933</c:v>
                </c:pt>
                <c:pt idx="339">
                  <c:v>32964</c:v>
                </c:pt>
                <c:pt idx="340">
                  <c:v>32994</c:v>
                </c:pt>
                <c:pt idx="341">
                  <c:v>33025</c:v>
                </c:pt>
                <c:pt idx="342">
                  <c:v>33055</c:v>
                </c:pt>
                <c:pt idx="343">
                  <c:v>33086</c:v>
                </c:pt>
                <c:pt idx="344">
                  <c:v>33117</c:v>
                </c:pt>
                <c:pt idx="345">
                  <c:v>33147</c:v>
                </c:pt>
                <c:pt idx="346">
                  <c:v>33178</c:v>
                </c:pt>
                <c:pt idx="347">
                  <c:v>33208</c:v>
                </c:pt>
                <c:pt idx="348">
                  <c:v>33239</c:v>
                </c:pt>
                <c:pt idx="349">
                  <c:v>33270</c:v>
                </c:pt>
                <c:pt idx="350">
                  <c:v>33298</c:v>
                </c:pt>
                <c:pt idx="351">
                  <c:v>33329</c:v>
                </c:pt>
                <c:pt idx="352">
                  <c:v>33359</c:v>
                </c:pt>
                <c:pt idx="353">
                  <c:v>33390</c:v>
                </c:pt>
                <c:pt idx="354">
                  <c:v>33420</c:v>
                </c:pt>
                <c:pt idx="355">
                  <c:v>33451</c:v>
                </c:pt>
                <c:pt idx="356">
                  <c:v>33482</c:v>
                </c:pt>
                <c:pt idx="357">
                  <c:v>33512</c:v>
                </c:pt>
                <c:pt idx="358">
                  <c:v>33543</c:v>
                </c:pt>
                <c:pt idx="359">
                  <c:v>33573</c:v>
                </c:pt>
                <c:pt idx="360">
                  <c:v>33604</c:v>
                </c:pt>
                <c:pt idx="361">
                  <c:v>33635</c:v>
                </c:pt>
                <c:pt idx="362">
                  <c:v>33664</c:v>
                </c:pt>
                <c:pt idx="363">
                  <c:v>33695</c:v>
                </c:pt>
                <c:pt idx="364">
                  <c:v>33725</c:v>
                </c:pt>
                <c:pt idx="365">
                  <c:v>33756</c:v>
                </c:pt>
                <c:pt idx="366">
                  <c:v>33786</c:v>
                </c:pt>
                <c:pt idx="367">
                  <c:v>33817</c:v>
                </c:pt>
                <c:pt idx="368">
                  <c:v>33848</c:v>
                </c:pt>
                <c:pt idx="369">
                  <c:v>33878</c:v>
                </c:pt>
                <c:pt idx="370">
                  <c:v>33909</c:v>
                </c:pt>
                <c:pt idx="371">
                  <c:v>33939</c:v>
                </c:pt>
                <c:pt idx="372">
                  <c:v>33970</c:v>
                </c:pt>
                <c:pt idx="373">
                  <c:v>34001</c:v>
                </c:pt>
                <c:pt idx="374">
                  <c:v>34029</c:v>
                </c:pt>
                <c:pt idx="375">
                  <c:v>34060</c:v>
                </c:pt>
                <c:pt idx="376">
                  <c:v>34090</c:v>
                </c:pt>
                <c:pt idx="377">
                  <c:v>34121</c:v>
                </c:pt>
                <c:pt idx="378">
                  <c:v>34151</c:v>
                </c:pt>
                <c:pt idx="379">
                  <c:v>34182</c:v>
                </c:pt>
                <c:pt idx="380">
                  <c:v>34213</c:v>
                </c:pt>
                <c:pt idx="381">
                  <c:v>34243</c:v>
                </c:pt>
                <c:pt idx="382">
                  <c:v>34274</c:v>
                </c:pt>
                <c:pt idx="383">
                  <c:v>34304</c:v>
                </c:pt>
                <c:pt idx="384">
                  <c:v>34335</c:v>
                </c:pt>
                <c:pt idx="385">
                  <c:v>34366</c:v>
                </c:pt>
                <c:pt idx="386">
                  <c:v>34394</c:v>
                </c:pt>
                <c:pt idx="387">
                  <c:v>34425</c:v>
                </c:pt>
                <c:pt idx="388">
                  <c:v>34455</c:v>
                </c:pt>
                <c:pt idx="389">
                  <c:v>34486</c:v>
                </c:pt>
                <c:pt idx="390">
                  <c:v>34516</c:v>
                </c:pt>
                <c:pt idx="391">
                  <c:v>34547</c:v>
                </c:pt>
                <c:pt idx="392">
                  <c:v>34578</c:v>
                </c:pt>
                <c:pt idx="393">
                  <c:v>34608</c:v>
                </c:pt>
                <c:pt idx="394">
                  <c:v>34639</c:v>
                </c:pt>
                <c:pt idx="395">
                  <c:v>34669</c:v>
                </c:pt>
                <c:pt idx="396">
                  <c:v>34700</c:v>
                </c:pt>
                <c:pt idx="397">
                  <c:v>34731</c:v>
                </c:pt>
                <c:pt idx="398">
                  <c:v>34759</c:v>
                </c:pt>
                <c:pt idx="399">
                  <c:v>34790</c:v>
                </c:pt>
                <c:pt idx="400">
                  <c:v>34820</c:v>
                </c:pt>
                <c:pt idx="401">
                  <c:v>34851</c:v>
                </c:pt>
                <c:pt idx="402">
                  <c:v>34881</c:v>
                </c:pt>
                <c:pt idx="403">
                  <c:v>34912</c:v>
                </c:pt>
                <c:pt idx="404">
                  <c:v>34943</c:v>
                </c:pt>
                <c:pt idx="405">
                  <c:v>34973</c:v>
                </c:pt>
                <c:pt idx="406">
                  <c:v>35004</c:v>
                </c:pt>
                <c:pt idx="407">
                  <c:v>35034</c:v>
                </c:pt>
                <c:pt idx="408">
                  <c:v>35065</c:v>
                </c:pt>
                <c:pt idx="409">
                  <c:v>35096</c:v>
                </c:pt>
                <c:pt idx="410">
                  <c:v>35125</c:v>
                </c:pt>
                <c:pt idx="411">
                  <c:v>35156</c:v>
                </c:pt>
                <c:pt idx="412">
                  <c:v>35186</c:v>
                </c:pt>
                <c:pt idx="413">
                  <c:v>35217</c:v>
                </c:pt>
                <c:pt idx="414">
                  <c:v>35247</c:v>
                </c:pt>
                <c:pt idx="415">
                  <c:v>35278</c:v>
                </c:pt>
                <c:pt idx="416">
                  <c:v>35309</c:v>
                </c:pt>
                <c:pt idx="417">
                  <c:v>35339</c:v>
                </c:pt>
                <c:pt idx="418">
                  <c:v>35370</c:v>
                </c:pt>
                <c:pt idx="419">
                  <c:v>35400</c:v>
                </c:pt>
                <c:pt idx="420">
                  <c:v>35431</c:v>
                </c:pt>
                <c:pt idx="421">
                  <c:v>35462</c:v>
                </c:pt>
                <c:pt idx="422">
                  <c:v>35490</c:v>
                </c:pt>
                <c:pt idx="423">
                  <c:v>35521</c:v>
                </c:pt>
                <c:pt idx="424">
                  <c:v>35551</c:v>
                </c:pt>
                <c:pt idx="425">
                  <c:v>35582</c:v>
                </c:pt>
                <c:pt idx="426">
                  <c:v>35612</c:v>
                </c:pt>
                <c:pt idx="427">
                  <c:v>35643</c:v>
                </c:pt>
                <c:pt idx="428">
                  <c:v>35674</c:v>
                </c:pt>
                <c:pt idx="429">
                  <c:v>35704</c:v>
                </c:pt>
                <c:pt idx="430">
                  <c:v>35735</c:v>
                </c:pt>
                <c:pt idx="431">
                  <c:v>35765</c:v>
                </c:pt>
                <c:pt idx="432">
                  <c:v>35796</c:v>
                </c:pt>
                <c:pt idx="433">
                  <c:v>35827</c:v>
                </c:pt>
                <c:pt idx="434">
                  <c:v>35855</c:v>
                </c:pt>
                <c:pt idx="435">
                  <c:v>35886</c:v>
                </c:pt>
                <c:pt idx="436">
                  <c:v>35916</c:v>
                </c:pt>
                <c:pt idx="437">
                  <c:v>35947</c:v>
                </c:pt>
                <c:pt idx="438">
                  <c:v>35977</c:v>
                </c:pt>
                <c:pt idx="439">
                  <c:v>36008</c:v>
                </c:pt>
                <c:pt idx="440">
                  <c:v>36039</c:v>
                </c:pt>
                <c:pt idx="441">
                  <c:v>36069</c:v>
                </c:pt>
                <c:pt idx="442">
                  <c:v>36100</c:v>
                </c:pt>
                <c:pt idx="443">
                  <c:v>36130</c:v>
                </c:pt>
                <c:pt idx="444">
                  <c:v>36161</c:v>
                </c:pt>
                <c:pt idx="445">
                  <c:v>36192</c:v>
                </c:pt>
                <c:pt idx="446">
                  <c:v>36220</c:v>
                </c:pt>
                <c:pt idx="447">
                  <c:v>36251</c:v>
                </c:pt>
                <c:pt idx="448">
                  <c:v>36281</c:v>
                </c:pt>
                <c:pt idx="449">
                  <c:v>36312</c:v>
                </c:pt>
                <c:pt idx="450">
                  <c:v>36342</c:v>
                </c:pt>
                <c:pt idx="451">
                  <c:v>36373</c:v>
                </c:pt>
                <c:pt idx="452">
                  <c:v>36404</c:v>
                </c:pt>
                <c:pt idx="453">
                  <c:v>36434</c:v>
                </c:pt>
                <c:pt idx="454">
                  <c:v>36465</c:v>
                </c:pt>
                <c:pt idx="455">
                  <c:v>36495</c:v>
                </c:pt>
                <c:pt idx="456">
                  <c:v>36526</c:v>
                </c:pt>
                <c:pt idx="457">
                  <c:v>36557</c:v>
                </c:pt>
                <c:pt idx="458">
                  <c:v>36586</c:v>
                </c:pt>
                <c:pt idx="459">
                  <c:v>36617</c:v>
                </c:pt>
                <c:pt idx="460">
                  <c:v>36647</c:v>
                </c:pt>
                <c:pt idx="461">
                  <c:v>36678</c:v>
                </c:pt>
                <c:pt idx="462">
                  <c:v>36708</c:v>
                </c:pt>
                <c:pt idx="463">
                  <c:v>36739</c:v>
                </c:pt>
                <c:pt idx="464">
                  <c:v>36770</c:v>
                </c:pt>
                <c:pt idx="465">
                  <c:v>36800</c:v>
                </c:pt>
                <c:pt idx="466">
                  <c:v>36831</c:v>
                </c:pt>
                <c:pt idx="467">
                  <c:v>36861</c:v>
                </c:pt>
                <c:pt idx="468">
                  <c:v>36892</c:v>
                </c:pt>
                <c:pt idx="469">
                  <c:v>36923</c:v>
                </c:pt>
                <c:pt idx="470">
                  <c:v>36951</c:v>
                </c:pt>
                <c:pt idx="471">
                  <c:v>36982</c:v>
                </c:pt>
                <c:pt idx="472">
                  <c:v>37012</c:v>
                </c:pt>
                <c:pt idx="473">
                  <c:v>37043</c:v>
                </c:pt>
                <c:pt idx="474">
                  <c:v>37073</c:v>
                </c:pt>
                <c:pt idx="475">
                  <c:v>37104</c:v>
                </c:pt>
                <c:pt idx="476">
                  <c:v>37135</c:v>
                </c:pt>
                <c:pt idx="477">
                  <c:v>37165</c:v>
                </c:pt>
                <c:pt idx="478">
                  <c:v>37196</c:v>
                </c:pt>
                <c:pt idx="479">
                  <c:v>37226</c:v>
                </c:pt>
                <c:pt idx="480">
                  <c:v>37257</c:v>
                </c:pt>
                <c:pt idx="481">
                  <c:v>37288</c:v>
                </c:pt>
                <c:pt idx="482">
                  <c:v>37316</c:v>
                </c:pt>
                <c:pt idx="483">
                  <c:v>37347</c:v>
                </c:pt>
                <c:pt idx="484">
                  <c:v>37377</c:v>
                </c:pt>
                <c:pt idx="485">
                  <c:v>37408</c:v>
                </c:pt>
                <c:pt idx="486">
                  <c:v>37438</c:v>
                </c:pt>
                <c:pt idx="487">
                  <c:v>37469</c:v>
                </c:pt>
                <c:pt idx="488">
                  <c:v>37500</c:v>
                </c:pt>
                <c:pt idx="489">
                  <c:v>37530</c:v>
                </c:pt>
                <c:pt idx="490">
                  <c:v>37561</c:v>
                </c:pt>
                <c:pt idx="491">
                  <c:v>37591</c:v>
                </c:pt>
                <c:pt idx="492">
                  <c:v>37622</c:v>
                </c:pt>
                <c:pt idx="493">
                  <c:v>37653</c:v>
                </c:pt>
                <c:pt idx="494">
                  <c:v>37681</c:v>
                </c:pt>
                <c:pt idx="495">
                  <c:v>37712</c:v>
                </c:pt>
                <c:pt idx="496">
                  <c:v>37742</c:v>
                </c:pt>
                <c:pt idx="497">
                  <c:v>37773</c:v>
                </c:pt>
                <c:pt idx="498">
                  <c:v>37803</c:v>
                </c:pt>
                <c:pt idx="499">
                  <c:v>37834</c:v>
                </c:pt>
                <c:pt idx="500">
                  <c:v>37865</c:v>
                </c:pt>
                <c:pt idx="501">
                  <c:v>37895</c:v>
                </c:pt>
                <c:pt idx="502">
                  <c:v>37926</c:v>
                </c:pt>
                <c:pt idx="503">
                  <c:v>37956</c:v>
                </c:pt>
                <c:pt idx="504">
                  <c:v>37987</c:v>
                </c:pt>
                <c:pt idx="505">
                  <c:v>38018</c:v>
                </c:pt>
                <c:pt idx="506">
                  <c:v>38047</c:v>
                </c:pt>
                <c:pt idx="507">
                  <c:v>38078</c:v>
                </c:pt>
                <c:pt idx="508">
                  <c:v>38108</c:v>
                </c:pt>
                <c:pt idx="509">
                  <c:v>38139</c:v>
                </c:pt>
                <c:pt idx="510">
                  <c:v>38169</c:v>
                </c:pt>
                <c:pt idx="511">
                  <c:v>38200</c:v>
                </c:pt>
                <c:pt idx="512">
                  <c:v>38231</c:v>
                </c:pt>
                <c:pt idx="513">
                  <c:v>38261</c:v>
                </c:pt>
                <c:pt idx="514">
                  <c:v>38292</c:v>
                </c:pt>
                <c:pt idx="515">
                  <c:v>38322</c:v>
                </c:pt>
                <c:pt idx="516">
                  <c:v>38353</c:v>
                </c:pt>
                <c:pt idx="517">
                  <c:v>38384</c:v>
                </c:pt>
                <c:pt idx="518">
                  <c:v>38412</c:v>
                </c:pt>
                <c:pt idx="519">
                  <c:v>38443</c:v>
                </c:pt>
                <c:pt idx="520">
                  <c:v>38473</c:v>
                </c:pt>
                <c:pt idx="521">
                  <c:v>38504</c:v>
                </c:pt>
                <c:pt idx="522">
                  <c:v>38534</c:v>
                </c:pt>
                <c:pt idx="523">
                  <c:v>38565</c:v>
                </c:pt>
                <c:pt idx="524">
                  <c:v>38596</c:v>
                </c:pt>
                <c:pt idx="525">
                  <c:v>38626</c:v>
                </c:pt>
                <c:pt idx="526">
                  <c:v>38657</c:v>
                </c:pt>
                <c:pt idx="527">
                  <c:v>38687</c:v>
                </c:pt>
                <c:pt idx="528">
                  <c:v>38718</c:v>
                </c:pt>
                <c:pt idx="529">
                  <c:v>38749</c:v>
                </c:pt>
                <c:pt idx="530">
                  <c:v>38777</c:v>
                </c:pt>
                <c:pt idx="531">
                  <c:v>38808</c:v>
                </c:pt>
                <c:pt idx="532">
                  <c:v>38838</c:v>
                </c:pt>
                <c:pt idx="533">
                  <c:v>38869</c:v>
                </c:pt>
                <c:pt idx="534">
                  <c:v>38899</c:v>
                </c:pt>
                <c:pt idx="535">
                  <c:v>38930</c:v>
                </c:pt>
                <c:pt idx="536">
                  <c:v>38961</c:v>
                </c:pt>
                <c:pt idx="537">
                  <c:v>38991</c:v>
                </c:pt>
                <c:pt idx="538">
                  <c:v>39022</c:v>
                </c:pt>
                <c:pt idx="539">
                  <c:v>39052</c:v>
                </c:pt>
                <c:pt idx="540">
                  <c:v>39083</c:v>
                </c:pt>
                <c:pt idx="541">
                  <c:v>39114</c:v>
                </c:pt>
                <c:pt idx="542">
                  <c:v>39142</c:v>
                </c:pt>
                <c:pt idx="543">
                  <c:v>39173</c:v>
                </c:pt>
                <c:pt idx="544">
                  <c:v>39203</c:v>
                </c:pt>
                <c:pt idx="545">
                  <c:v>39234</c:v>
                </c:pt>
                <c:pt idx="546">
                  <c:v>39264</c:v>
                </c:pt>
                <c:pt idx="547">
                  <c:v>39295</c:v>
                </c:pt>
                <c:pt idx="548">
                  <c:v>39326</c:v>
                </c:pt>
                <c:pt idx="549">
                  <c:v>39356</c:v>
                </c:pt>
                <c:pt idx="550">
                  <c:v>39387</c:v>
                </c:pt>
                <c:pt idx="551">
                  <c:v>39417</c:v>
                </c:pt>
                <c:pt idx="552">
                  <c:v>39448</c:v>
                </c:pt>
                <c:pt idx="553">
                  <c:v>39479</c:v>
                </c:pt>
                <c:pt idx="554">
                  <c:v>39508</c:v>
                </c:pt>
                <c:pt idx="555">
                  <c:v>39539</c:v>
                </c:pt>
                <c:pt idx="556">
                  <c:v>39569</c:v>
                </c:pt>
                <c:pt idx="557">
                  <c:v>39600</c:v>
                </c:pt>
                <c:pt idx="558">
                  <c:v>39630</c:v>
                </c:pt>
                <c:pt idx="559">
                  <c:v>39661</c:v>
                </c:pt>
                <c:pt idx="560">
                  <c:v>39692</c:v>
                </c:pt>
                <c:pt idx="561">
                  <c:v>39722</c:v>
                </c:pt>
                <c:pt idx="562">
                  <c:v>39753</c:v>
                </c:pt>
                <c:pt idx="563">
                  <c:v>39783</c:v>
                </c:pt>
                <c:pt idx="564">
                  <c:v>39814</c:v>
                </c:pt>
                <c:pt idx="565">
                  <c:v>39845</c:v>
                </c:pt>
                <c:pt idx="566">
                  <c:v>39873</c:v>
                </c:pt>
                <c:pt idx="567">
                  <c:v>39904</c:v>
                </c:pt>
                <c:pt idx="568">
                  <c:v>39934</c:v>
                </c:pt>
                <c:pt idx="569">
                  <c:v>39965</c:v>
                </c:pt>
                <c:pt idx="570">
                  <c:v>39995</c:v>
                </c:pt>
                <c:pt idx="571">
                  <c:v>40026</c:v>
                </c:pt>
                <c:pt idx="572">
                  <c:v>40057</c:v>
                </c:pt>
                <c:pt idx="573">
                  <c:v>40087</c:v>
                </c:pt>
                <c:pt idx="574">
                  <c:v>40118</c:v>
                </c:pt>
                <c:pt idx="575">
                  <c:v>40148</c:v>
                </c:pt>
                <c:pt idx="576">
                  <c:v>40179</c:v>
                </c:pt>
                <c:pt idx="577">
                  <c:v>40210</c:v>
                </c:pt>
                <c:pt idx="578">
                  <c:v>40238</c:v>
                </c:pt>
                <c:pt idx="579">
                  <c:v>40269</c:v>
                </c:pt>
                <c:pt idx="580">
                  <c:v>40299</c:v>
                </c:pt>
                <c:pt idx="581">
                  <c:v>40330</c:v>
                </c:pt>
                <c:pt idx="582">
                  <c:v>40360</c:v>
                </c:pt>
                <c:pt idx="583">
                  <c:v>40391</c:v>
                </c:pt>
                <c:pt idx="584">
                  <c:v>40422</c:v>
                </c:pt>
                <c:pt idx="585">
                  <c:v>40452</c:v>
                </c:pt>
                <c:pt idx="586">
                  <c:v>40483</c:v>
                </c:pt>
                <c:pt idx="587">
                  <c:v>40513</c:v>
                </c:pt>
                <c:pt idx="588">
                  <c:v>40544</c:v>
                </c:pt>
                <c:pt idx="589">
                  <c:v>40575</c:v>
                </c:pt>
                <c:pt idx="590">
                  <c:v>40603</c:v>
                </c:pt>
                <c:pt idx="591">
                  <c:v>40634</c:v>
                </c:pt>
                <c:pt idx="592">
                  <c:v>40664</c:v>
                </c:pt>
                <c:pt idx="593">
                  <c:v>40695</c:v>
                </c:pt>
                <c:pt idx="594">
                  <c:v>40725</c:v>
                </c:pt>
                <c:pt idx="595">
                  <c:v>40756</c:v>
                </c:pt>
                <c:pt idx="596">
                  <c:v>40787</c:v>
                </c:pt>
                <c:pt idx="597">
                  <c:v>40817</c:v>
                </c:pt>
                <c:pt idx="598">
                  <c:v>40848</c:v>
                </c:pt>
                <c:pt idx="599">
                  <c:v>40878</c:v>
                </c:pt>
                <c:pt idx="600">
                  <c:v>40909</c:v>
                </c:pt>
                <c:pt idx="601">
                  <c:v>40940</c:v>
                </c:pt>
                <c:pt idx="602">
                  <c:v>40969</c:v>
                </c:pt>
                <c:pt idx="603">
                  <c:v>41000</c:v>
                </c:pt>
                <c:pt idx="604">
                  <c:v>41030</c:v>
                </c:pt>
                <c:pt idx="605">
                  <c:v>41061</c:v>
                </c:pt>
                <c:pt idx="606">
                  <c:v>41091</c:v>
                </c:pt>
                <c:pt idx="607">
                  <c:v>41122</c:v>
                </c:pt>
                <c:pt idx="608">
                  <c:v>41153</c:v>
                </c:pt>
                <c:pt idx="609">
                  <c:v>41183</c:v>
                </c:pt>
                <c:pt idx="610">
                  <c:v>41214</c:v>
                </c:pt>
                <c:pt idx="611">
                  <c:v>41244</c:v>
                </c:pt>
                <c:pt idx="612">
                  <c:v>41275</c:v>
                </c:pt>
                <c:pt idx="613">
                  <c:v>41306</c:v>
                </c:pt>
                <c:pt idx="614">
                  <c:v>41334</c:v>
                </c:pt>
                <c:pt idx="615">
                  <c:v>41365</c:v>
                </c:pt>
                <c:pt idx="616">
                  <c:v>41395</c:v>
                </c:pt>
                <c:pt idx="617">
                  <c:v>41426</c:v>
                </c:pt>
                <c:pt idx="618">
                  <c:v>41456</c:v>
                </c:pt>
                <c:pt idx="619">
                  <c:v>41487</c:v>
                </c:pt>
                <c:pt idx="620">
                  <c:v>41518</c:v>
                </c:pt>
                <c:pt idx="621">
                  <c:v>41548</c:v>
                </c:pt>
                <c:pt idx="622">
                  <c:v>41579</c:v>
                </c:pt>
                <c:pt idx="623">
                  <c:v>41609</c:v>
                </c:pt>
                <c:pt idx="624">
                  <c:v>41640</c:v>
                </c:pt>
                <c:pt idx="625">
                  <c:v>41671</c:v>
                </c:pt>
                <c:pt idx="626">
                  <c:v>41699</c:v>
                </c:pt>
                <c:pt idx="627">
                  <c:v>41730</c:v>
                </c:pt>
                <c:pt idx="628">
                  <c:v>41760</c:v>
                </c:pt>
                <c:pt idx="629">
                  <c:v>41791</c:v>
                </c:pt>
                <c:pt idx="630">
                  <c:v>41821</c:v>
                </c:pt>
                <c:pt idx="631">
                  <c:v>41852</c:v>
                </c:pt>
                <c:pt idx="632">
                  <c:v>41883</c:v>
                </c:pt>
                <c:pt idx="633">
                  <c:v>41913</c:v>
                </c:pt>
                <c:pt idx="634">
                  <c:v>41944</c:v>
                </c:pt>
                <c:pt idx="635">
                  <c:v>41974</c:v>
                </c:pt>
                <c:pt idx="636">
                  <c:v>42005</c:v>
                </c:pt>
                <c:pt idx="637">
                  <c:v>42036</c:v>
                </c:pt>
                <c:pt idx="638">
                  <c:v>42064</c:v>
                </c:pt>
                <c:pt idx="639">
                  <c:v>42095</c:v>
                </c:pt>
                <c:pt idx="640">
                  <c:v>42125</c:v>
                </c:pt>
                <c:pt idx="641">
                  <c:v>42156</c:v>
                </c:pt>
                <c:pt idx="642">
                  <c:v>42186</c:v>
                </c:pt>
                <c:pt idx="643">
                  <c:v>42217</c:v>
                </c:pt>
                <c:pt idx="644">
                  <c:v>42248</c:v>
                </c:pt>
                <c:pt idx="645">
                  <c:v>42278</c:v>
                </c:pt>
                <c:pt idx="646">
                  <c:v>42309</c:v>
                </c:pt>
                <c:pt idx="647">
                  <c:v>42339</c:v>
                </c:pt>
                <c:pt idx="648">
                  <c:v>42370</c:v>
                </c:pt>
                <c:pt idx="649">
                  <c:v>42401</c:v>
                </c:pt>
                <c:pt idx="650">
                  <c:v>42430</c:v>
                </c:pt>
                <c:pt idx="651">
                  <c:v>42461</c:v>
                </c:pt>
                <c:pt idx="652">
                  <c:v>42491</c:v>
                </c:pt>
                <c:pt idx="653">
                  <c:v>42522</c:v>
                </c:pt>
                <c:pt idx="654">
                  <c:v>42552</c:v>
                </c:pt>
                <c:pt idx="655">
                  <c:v>42583</c:v>
                </c:pt>
                <c:pt idx="656">
                  <c:v>42614</c:v>
                </c:pt>
                <c:pt idx="657">
                  <c:v>42644</c:v>
                </c:pt>
                <c:pt idx="658">
                  <c:v>42675</c:v>
                </c:pt>
                <c:pt idx="659">
                  <c:v>42705</c:v>
                </c:pt>
                <c:pt idx="660">
                  <c:v>42736</c:v>
                </c:pt>
                <c:pt idx="661">
                  <c:v>42767</c:v>
                </c:pt>
                <c:pt idx="662">
                  <c:v>42795</c:v>
                </c:pt>
                <c:pt idx="663">
                  <c:v>42826</c:v>
                </c:pt>
                <c:pt idx="664">
                  <c:v>42856</c:v>
                </c:pt>
                <c:pt idx="665">
                  <c:v>42887</c:v>
                </c:pt>
                <c:pt idx="666">
                  <c:v>42917</c:v>
                </c:pt>
                <c:pt idx="667">
                  <c:v>42948</c:v>
                </c:pt>
                <c:pt idx="668">
                  <c:v>42979</c:v>
                </c:pt>
                <c:pt idx="669">
                  <c:v>43009</c:v>
                </c:pt>
                <c:pt idx="670">
                  <c:v>43040</c:v>
                </c:pt>
                <c:pt idx="671">
                  <c:v>43070</c:v>
                </c:pt>
                <c:pt idx="672">
                  <c:v>43101</c:v>
                </c:pt>
                <c:pt idx="673">
                  <c:v>43132</c:v>
                </c:pt>
                <c:pt idx="674">
                  <c:v>43160</c:v>
                </c:pt>
                <c:pt idx="675">
                  <c:v>43191</c:v>
                </c:pt>
                <c:pt idx="676">
                  <c:v>43221</c:v>
                </c:pt>
                <c:pt idx="677">
                  <c:v>43252</c:v>
                </c:pt>
                <c:pt idx="678">
                  <c:v>43282</c:v>
                </c:pt>
                <c:pt idx="679">
                  <c:v>43313</c:v>
                </c:pt>
                <c:pt idx="680">
                  <c:v>43344</c:v>
                </c:pt>
                <c:pt idx="681">
                  <c:v>43374</c:v>
                </c:pt>
                <c:pt idx="682">
                  <c:v>43405</c:v>
                </c:pt>
                <c:pt idx="683">
                  <c:v>43435</c:v>
                </c:pt>
                <c:pt idx="684">
                  <c:v>43466</c:v>
                </c:pt>
                <c:pt idx="685">
                  <c:v>43497</c:v>
                </c:pt>
                <c:pt idx="686">
                  <c:v>43525</c:v>
                </c:pt>
                <c:pt idx="687">
                  <c:v>43556</c:v>
                </c:pt>
                <c:pt idx="688">
                  <c:v>43586</c:v>
                </c:pt>
                <c:pt idx="689">
                  <c:v>43617</c:v>
                </c:pt>
                <c:pt idx="690">
                  <c:v>43647</c:v>
                </c:pt>
                <c:pt idx="691">
                  <c:v>43678</c:v>
                </c:pt>
                <c:pt idx="692">
                  <c:v>43709</c:v>
                </c:pt>
                <c:pt idx="693">
                  <c:v>43739</c:v>
                </c:pt>
                <c:pt idx="694">
                  <c:v>43770</c:v>
                </c:pt>
                <c:pt idx="695">
                  <c:v>43800</c:v>
                </c:pt>
                <c:pt idx="696">
                  <c:v>43831</c:v>
                </c:pt>
                <c:pt idx="697">
                  <c:v>43862</c:v>
                </c:pt>
                <c:pt idx="698">
                  <c:v>43891</c:v>
                </c:pt>
                <c:pt idx="699">
                  <c:v>43922</c:v>
                </c:pt>
                <c:pt idx="700">
                  <c:v>43952</c:v>
                </c:pt>
                <c:pt idx="701">
                  <c:v>43983</c:v>
                </c:pt>
                <c:pt idx="702">
                  <c:v>44013</c:v>
                </c:pt>
                <c:pt idx="703">
                  <c:v>44044</c:v>
                </c:pt>
                <c:pt idx="704">
                  <c:v>44075</c:v>
                </c:pt>
                <c:pt idx="705">
                  <c:v>44105</c:v>
                </c:pt>
                <c:pt idx="706">
                  <c:v>44136</c:v>
                </c:pt>
                <c:pt idx="707">
                  <c:v>44166</c:v>
                </c:pt>
                <c:pt idx="708">
                  <c:v>44197</c:v>
                </c:pt>
                <c:pt idx="709">
                  <c:v>44228</c:v>
                </c:pt>
                <c:pt idx="710">
                  <c:v>44256</c:v>
                </c:pt>
                <c:pt idx="711">
                  <c:v>44287</c:v>
                </c:pt>
                <c:pt idx="712">
                  <c:v>44317</c:v>
                </c:pt>
                <c:pt idx="713">
                  <c:v>44348</c:v>
                </c:pt>
                <c:pt idx="714">
                  <c:v>44378</c:v>
                </c:pt>
                <c:pt idx="715">
                  <c:v>44409</c:v>
                </c:pt>
                <c:pt idx="716">
                  <c:v>44440</c:v>
                </c:pt>
                <c:pt idx="717">
                  <c:v>44470</c:v>
                </c:pt>
                <c:pt idx="718">
                  <c:v>44501</c:v>
                </c:pt>
                <c:pt idx="719">
                  <c:v>44531</c:v>
                </c:pt>
                <c:pt idx="720">
                  <c:v>44562</c:v>
                </c:pt>
                <c:pt idx="721">
                  <c:v>44593</c:v>
                </c:pt>
                <c:pt idx="722">
                  <c:v>44621</c:v>
                </c:pt>
                <c:pt idx="723">
                  <c:v>44652</c:v>
                </c:pt>
                <c:pt idx="724">
                  <c:v>44682</c:v>
                </c:pt>
                <c:pt idx="725">
                  <c:v>44713</c:v>
                </c:pt>
                <c:pt idx="726">
                  <c:v>44743</c:v>
                </c:pt>
                <c:pt idx="727">
                  <c:v>44774</c:v>
                </c:pt>
                <c:pt idx="728">
                  <c:v>44805</c:v>
                </c:pt>
                <c:pt idx="729">
                  <c:v>44835</c:v>
                </c:pt>
                <c:pt idx="730">
                  <c:v>44866</c:v>
                </c:pt>
                <c:pt idx="731">
                  <c:v>44896</c:v>
                </c:pt>
                <c:pt idx="732">
                  <c:v>44927</c:v>
                </c:pt>
                <c:pt idx="733">
                  <c:v>44958</c:v>
                </c:pt>
                <c:pt idx="734">
                  <c:v>44986</c:v>
                </c:pt>
                <c:pt idx="735">
                  <c:v>45017</c:v>
                </c:pt>
                <c:pt idx="736">
                  <c:v>45047</c:v>
                </c:pt>
                <c:pt idx="737">
                  <c:v>45078</c:v>
                </c:pt>
                <c:pt idx="738">
                  <c:v>45108</c:v>
                </c:pt>
                <c:pt idx="739">
                  <c:v>45139</c:v>
                </c:pt>
                <c:pt idx="740">
                  <c:v>45170</c:v>
                </c:pt>
                <c:pt idx="741">
                  <c:v>45200</c:v>
                </c:pt>
                <c:pt idx="742">
                  <c:v>45231</c:v>
                </c:pt>
                <c:pt idx="743">
                  <c:v>45261</c:v>
                </c:pt>
                <c:pt idx="744">
                  <c:v>45292</c:v>
                </c:pt>
                <c:pt idx="745">
                  <c:v>45323</c:v>
                </c:pt>
                <c:pt idx="746">
                  <c:v>45352</c:v>
                </c:pt>
                <c:pt idx="747">
                  <c:v>45383</c:v>
                </c:pt>
                <c:pt idx="748">
                  <c:v>45413</c:v>
                </c:pt>
                <c:pt idx="749">
                  <c:v>45444</c:v>
                </c:pt>
                <c:pt idx="750">
                  <c:v>45474</c:v>
                </c:pt>
                <c:pt idx="751">
                  <c:v>45505</c:v>
                </c:pt>
                <c:pt idx="752">
                  <c:v>45536</c:v>
                </c:pt>
                <c:pt idx="753">
                  <c:v>45566</c:v>
                </c:pt>
                <c:pt idx="754">
                  <c:v>45597</c:v>
                </c:pt>
                <c:pt idx="755">
                  <c:v>45627</c:v>
                </c:pt>
                <c:pt idx="756">
                  <c:v>45658</c:v>
                </c:pt>
                <c:pt idx="757">
                  <c:v>45689</c:v>
                </c:pt>
                <c:pt idx="758">
                  <c:v>45717</c:v>
                </c:pt>
                <c:pt idx="759">
                  <c:v>45748</c:v>
                </c:pt>
                <c:pt idx="760">
                  <c:v>45778</c:v>
                </c:pt>
                <c:pt idx="761">
                  <c:v>45809</c:v>
                </c:pt>
                <c:pt idx="762">
                  <c:v>45839</c:v>
                </c:pt>
              </c:numCache>
            </c:numRef>
          </c:cat>
          <c:val>
            <c:numRef>
              <c:f>ChilwaBasinMonthlyDataset!$B$2:$B$764</c:f>
              <c:numCache>
                <c:formatCode>General</c:formatCode>
                <c:ptCount val="763"/>
                <c:pt idx="0">
                  <c:v>0.79</c:v>
                </c:pt>
                <c:pt idx="1">
                  <c:v>0.93</c:v>
                </c:pt>
                <c:pt idx="2">
                  <c:v>1.06</c:v>
                </c:pt>
                <c:pt idx="3">
                  <c:v>1.19</c:v>
                </c:pt>
                <c:pt idx="4">
                  <c:v>1.33</c:v>
                </c:pt>
                <c:pt idx="5">
                  <c:v>1.46</c:v>
                </c:pt>
                <c:pt idx="6">
                  <c:v>1.59</c:v>
                </c:pt>
                <c:pt idx="7">
                  <c:v>1.73</c:v>
                </c:pt>
                <c:pt idx="8">
                  <c:v>1.86</c:v>
                </c:pt>
                <c:pt idx="9">
                  <c:v>1.99</c:v>
                </c:pt>
                <c:pt idx="10">
                  <c:v>2.13</c:v>
                </c:pt>
                <c:pt idx="11">
                  <c:v>2.2599999999999998</c:v>
                </c:pt>
                <c:pt idx="12">
                  <c:v>2.39</c:v>
                </c:pt>
                <c:pt idx="13">
                  <c:v>2.38</c:v>
                </c:pt>
                <c:pt idx="14">
                  <c:v>2.37</c:v>
                </c:pt>
                <c:pt idx="15">
                  <c:v>2.37</c:v>
                </c:pt>
                <c:pt idx="16">
                  <c:v>2.36</c:v>
                </c:pt>
                <c:pt idx="17">
                  <c:v>2.35</c:v>
                </c:pt>
                <c:pt idx="18">
                  <c:v>2.34</c:v>
                </c:pt>
                <c:pt idx="19">
                  <c:v>2.33</c:v>
                </c:pt>
                <c:pt idx="20">
                  <c:v>2.3199999999999998</c:v>
                </c:pt>
                <c:pt idx="21">
                  <c:v>2.3199999999999998</c:v>
                </c:pt>
                <c:pt idx="22">
                  <c:v>2.31</c:v>
                </c:pt>
                <c:pt idx="23">
                  <c:v>2.2999999999999998</c:v>
                </c:pt>
                <c:pt idx="24">
                  <c:v>2.29</c:v>
                </c:pt>
                <c:pt idx="25">
                  <c:v>2.25</c:v>
                </c:pt>
                <c:pt idx="26">
                  <c:v>2.21</c:v>
                </c:pt>
                <c:pt idx="27">
                  <c:v>2.17</c:v>
                </c:pt>
                <c:pt idx="28">
                  <c:v>2.12</c:v>
                </c:pt>
                <c:pt idx="29">
                  <c:v>2.08</c:v>
                </c:pt>
                <c:pt idx="30">
                  <c:v>2.04</c:v>
                </c:pt>
                <c:pt idx="31">
                  <c:v>2</c:v>
                </c:pt>
                <c:pt idx="32">
                  <c:v>1.96</c:v>
                </c:pt>
                <c:pt idx="33">
                  <c:v>1.92</c:v>
                </c:pt>
                <c:pt idx="34">
                  <c:v>1.87</c:v>
                </c:pt>
                <c:pt idx="35">
                  <c:v>1.83</c:v>
                </c:pt>
                <c:pt idx="36">
                  <c:v>1.79</c:v>
                </c:pt>
                <c:pt idx="37">
                  <c:v>1.8</c:v>
                </c:pt>
                <c:pt idx="38">
                  <c:v>1.81</c:v>
                </c:pt>
                <c:pt idx="39">
                  <c:v>1.82</c:v>
                </c:pt>
                <c:pt idx="40">
                  <c:v>1.82</c:v>
                </c:pt>
                <c:pt idx="41">
                  <c:v>1.83</c:v>
                </c:pt>
                <c:pt idx="42">
                  <c:v>1.84</c:v>
                </c:pt>
                <c:pt idx="43">
                  <c:v>1.85</c:v>
                </c:pt>
                <c:pt idx="44">
                  <c:v>1.86</c:v>
                </c:pt>
                <c:pt idx="45">
                  <c:v>1.86</c:v>
                </c:pt>
                <c:pt idx="46">
                  <c:v>1.87</c:v>
                </c:pt>
                <c:pt idx="47">
                  <c:v>1.88</c:v>
                </c:pt>
                <c:pt idx="48">
                  <c:v>1.89</c:v>
                </c:pt>
                <c:pt idx="49">
                  <c:v>1.79</c:v>
                </c:pt>
                <c:pt idx="50">
                  <c:v>1.68</c:v>
                </c:pt>
                <c:pt idx="51">
                  <c:v>1.58</c:v>
                </c:pt>
                <c:pt idx="52">
                  <c:v>1.48</c:v>
                </c:pt>
                <c:pt idx="53">
                  <c:v>1.37</c:v>
                </c:pt>
                <c:pt idx="54">
                  <c:v>1.27</c:v>
                </c:pt>
                <c:pt idx="55">
                  <c:v>1.17</c:v>
                </c:pt>
                <c:pt idx="56">
                  <c:v>1.06</c:v>
                </c:pt>
                <c:pt idx="57">
                  <c:v>0.96</c:v>
                </c:pt>
                <c:pt idx="58">
                  <c:v>0.86</c:v>
                </c:pt>
                <c:pt idx="59">
                  <c:v>0.76</c:v>
                </c:pt>
                <c:pt idx="60">
                  <c:v>0.65</c:v>
                </c:pt>
                <c:pt idx="61">
                  <c:v>0.6</c:v>
                </c:pt>
                <c:pt idx="62">
                  <c:v>0.54</c:v>
                </c:pt>
                <c:pt idx="63">
                  <c:v>0.49</c:v>
                </c:pt>
                <c:pt idx="64">
                  <c:v>0.44</c:v>
                </c:pt>
                <c:pt idx="65">
                  <c:v>0.38</c:v>
                </c:pt>
                <c:pt idx="66">
                  <c:v>0.33</c:v>
                </c:pt>
                <c:pt idx="67">
                  <c:v>0.27</c:v>
                </c:pt>
                <c:pt idx="68">
                  <c:v>0.22</c:v>
                </c:pt>
                <c:pt idx="69">
                  <c:v>0.16</c:v>
                </c:pt>
                <c:pt idx="70">
                  <c:v>0.11</c:v>
                </c:pt>
                <c:pt idx="71">
                  <c:v>0.05</c:v>
                </c:pt>
                <c:pt idx="72">
                  <c:v>0</c:v>
                </c:pt>
                <c:pt idx="73">
                  <c:v>0.13</c:v>
                </c:pt>
                <c:pt idx="74">
                  <c:v>0.27</c:v>
                </c:pt>
                <c:pt idx="75">
                  <c:v>0.4</c:v>
                </c:pt>
                <c:pt idx="76">
                  <c:v>0.53</c:v>
                </c:pt>
                <c:pt idx="77">
                  <c:v>0.66</c:v>
                </c:pt>
                <c:pt idx="78">
                  <c:v>0.8</c:v>
                </c:pt>
                <c:pt idx="79">
                  <c:v>0.93</c:v>
                </c:pt>
                <c:pt idx="80">
                  <c:v>1.06</c:v>
                </c:pt>
                <c:pt idx="81">
                  <c:v>1.19</c:v>
                </c:pt>
                <c:pt idx="82">
                  <c:v>1.33</c:v>
                </c:pt>
                <c:pt idx="83">
                  <c:v>1.46</c:v>
                </c:pt>
                <c:pt idx="84">
                  <c:v>1.59</c:v>
                </c:pt>
                <c:pt idx="85">
                  <c:v>1.61</c:v>
                </c:pt>
                <c:pt idx="86">
                  <c:v>1.62</c:v>
                </c:pt>
                <c:pt idx="87">
                  <c:v>1.64</c:v>
                </c:pt>
                <c:pt idx="88">
                  <c:v>1.66</c:v>
                </c:pt>
                <c:pt idx="89">
                  <c:v>1.67</c:v>
                </c:pt>
                <c:pt idx="90">
                  <c:v>1.69</c:v>
                </c:pt>
                <c:pt idx="91">
                  <c:v>1.71</c:v>
                </c:pt>
                <c:pt idx="92">
                  <c:v>1.72</c:v>
                </c:pt>
                <c:pt idx="93">
                  <c:v>1.74</c:v>
                </c:pt>
                <c:pt idx="94">
                  <c:v>1.76</c:v>
                </c:pt>
                <c:pt idx="95">
                  <c:v>1.77</c:v>
                </c:pt>
                <c:pt idx="96">
                  <c:v>1.79</c:v>
                </c:pt>
                <c:pt idx="97">
                  <c:v>1.84</c:v>
                </c:pt>
                <c:pt idx="98">
                  <c:v>1.89</c:v>
                </c:pt>
                <c:pt idx="99">
                  <c:v>1.94</c:v>
                </c:pt>
                <c:pt idx="100">
                  <c:v>1.99</c:v>
                </c:pt>
                <c:pt idx="101">
                  <c:v>2.04</c:v>
                </c:pt>
                <c:pt idx="102">
                  <c:v>2.09</c:v>
                </c:pt>
                <c:pt idx="103">
                  <c:v>2.14</c:v>
                </c:pt>
                <c:pt idx="104">
                  <c:v>2.19</c:v>
                </c:pt>
                <c:pt idx="105">
                  <c:v>2.2400000000000002</c:v>
                </c:pt>
                <c:pt idx="106">
                  <c:v>2.29</c:v>
                </c:pt>
                <c:pt idx="107">
                  <c:v>2.34</c:v>
                </c:pt>
                <c:pt idx="108">
                  <c:v>2.39</c:v>
                </c:pt>
                <c:pt idx="109">
                  <c:v>2.3199999999999998</c:v>
                </c:pt>
                <c:pt idx="110">
                  <c:v>2.2599999999999998</c:v>
                </c:pt>
                <c:pt idx="111">
                  <c:v>2.19</c:v>
                </c:pt>
                <c:pt idx="112">
                  <c:v>2.12</c:v>
                </c:pt>
                <c:pt idx="113">
                  <c:v>2.06</c:v>
                </c:pt>
                <c:pt idx="114">
                  <c:v>1.99</c:v>
                </c:pt>
                <c:pt idx="115">
                  <c:v>1.92</c:v>
                </c:pt>
                <c:pt idx="116">
                  <c:v>1.86</c:v>
                </c:pt>
                <c:pt idx="117">
                  <c:v>1.79</c:v>
                </c:pt>
                <c:pt idx="118">
                  <c:v>1.73</c:v>
                </c:pt>
                <c:pt idx="119">
                  <c:v>1.66</c:v>
                </c:pt>
                <c:pt idx="120">
                  <c:v>1.59</c:v>
                </c:pt>
                <c:pt idx="121">
                  <c:v>1.47</c:v>
                </c:pt>
                <c:pt idx="122">
                  <c:v>1.35</c:v>
                </c:pt>
                <c:pt idx="123">
                  <c:v>1.22</c:v>
                </c:pt>
                <c:pt idx="124">
                  <c:v>1.1000000000000001</c:v>
                </c:pt>
                <c:pt idx="125">
                  <c:v>0.97</c:v>
                </c:pt>
                <c:pt idx="126">
                  <c:v>0.85</c:v>
                </c:pt>
                <c:pt idx="127">
                  <c:v>0.72</c:v>
                </c:pt>
                <c:pt idx="128">
                  <c:v>0.6</c:v>
                </c:pt>
                <c:pt idx="129">
                  <c:v>0.47</c:v>
                </c:pt>
                <c:pt idx="130">
                  <c:v>0.35</c:v>
                </c:pt>
                <c:pt idx="131">
                  <c:v>0.23</c:v>
                </c:pt>
                <c:pt idx="132">
                  <c:v>0.1</c:v>
                </c:pt>
                <c:pt idx="133">
                  <c:v>0.33</c:v>
                </c:pt>
                <c:pt idx="134">
                  <c:v>0.55000000000000004</c:v>
                </c:pt>
                <c:pt idx="135">
                  <c:v>0.77</c:v>
                </c:pt>
                <c:pt idx="136">
                  <c:v>1</c:v>
                </c:pt>
                <c:pt idx="137">
                  <c:v>1.22</c:v>
                </c:pt>
                <c:pt idx="138">
                  <c:v>1.44</c:v>
                </c:pt>
                <c:pt idx="139">
                  <c:v>1.67</c:v>
                </c:pt>
                <c:pt idx="140">
                  <c:v>1.89</c:v>
                </c:pt>
                <c:pt idx="141">
                  <c:v>2.11</c:v>
                </c:pt>
                <c:pt idx="142">
                  <c:v>2.34</c:v>
                </c:pt>
                <c:pt idx="143">
                  <c:v>2.56</c:v>
                </c:pt>
                <c:pt idx="144">
                  <c:v>2.79</c:v>
                </c:pt>
                <c:pt idx="145">
                  <c:v>2.75</c:v>
                </c:pt>
                <c:pt idx="146">
                  <c:v>2.72</c:v>
                </c:pt>
                <c:pt idx="147">
                  <c:v>2.69</c:v>
                </c:pt>
                <c:pt idx="148">
                  <c:v>2.66</c:v>
                </c:pt>
                <c:pt idx="149">
                  <c:v>2.62</c:v>
                </c:pt>
                <c:pt idx="150">
                  <c:v>2.59</c:v>
                </c:pt>
                <c:pt idx="151">
                  <c:v>2.56</c:v>
                </c:pt>
                <c:pt idx="152">
                  <c:v>2.5299999999999998</c:v>
                </c:pt>
                <c:pt idx="153">
                  <c:v>2.5</c:v>
                </c:pt>
                <c:pt idx="154">
                  <c:v>2.46</c:v>
                </c:pt>
                <c:pt idx="155">
                  <c:v>2.4300000000000002</c:v>
                </c:pt>
                <c:pt idx="156">
                  <c:v>2.4</c:v>
                </c:pt>
                <c:pt idx="157">
                  <c:v>2.44</c:v>
                </c:pt>
                <c:pt idx="158">
                  <c:v>2.4700000000000002</c:v>
                </c:pt>
                <c:pt idx="159">
                  <c:v>2.5099999999999998</c:v>
                </c:pt>
                <c:pt idx="160">
                  <c:v>2.5499999999999998</c:v>
                </c:pt>
                <c:pt idx="161">
                  <c:v>2.58</c:v>
                </c:pt>
                <c:pt idx="162">
                  <c:v>2.62</c:v>
                </c:pt>
                <c:pt idx="163">
                  <c:v>2.66</c:v>
                </c:pt>
                <c:pt idx="164">
                  <c:v>2.69</c:v>
                </c:pt>
                <c:pt idx="165">
                  <c:v>2.73</c:v>
                </c:pt>
                <c:pt idx="166">
                  <c:v>2.77</c:v>
                </c:pt>
                <c:pt idx="167">
                  <c:v>2.81</c:v>
                </c:pt>
                <c:pt idx="168">
                  <c:v>2.84</c:v>
                </c:pt>
                <c:pt idx="169">
                  <c:v>2.75</c:v>
                </c:pt>
                <c:pt idx="170">
                  <c:v>2.66</c:v>
                </c:pt>
                <c:pt idx="171">
                  <c:v>2.56</c:v>
                </c:pt>
                <c:pt idx="172">
                  <c:v>2.4700000000000002</c:v>
                </c:pt>
                <c:pt idx="173">
                  <c:v>2.38</c:v>
                </c:pt>
                <c:pt idx="174">
                  <c:v>2.2799999999999998</c:v>
                </c:pt>
                <c:pt idx="175">
                  <c:v>2.19</c:v>
                </c:pt>
                <c:pt idx="176">
                  <c:v>2.1</c:v>
                </c:pt>
                <c:pt idx="177">
                  <c:v>2</c:v>
                </c:pt>
                <c:pt idx="178">
                  <c:v>1.91</c:v>
                </c:pt>
                <c:pt idx="179">
                  <c:v>1.82</c:v>
                </c:pt>
                <c:pt idx="180">
                  <c:v>1.72</c:v>
                </c:pt>
                <c:pt idx="181">
                  <c:v>1.58</c:v>
                </c:pt>
                <c:pt idx="182">
                  <c:v>1.44</c:v>
                </c:pt>
                <c:pt idx="183">
                  <c:v>1.29</c:v>
                </c:pt>
                <c:pt idx="184">
                  <c:v>1.1499999999999999</c:v>
                </c:pt>
                <c:pt idx="185">
                  <c:v>1.01</c:v>
                </c:pt>
                <c:pt idx="186">
                  <c:v>0.86</c:v>
                </c:pt>
                <c:pt idx="187">
                  <c:v>0.72</c:v>
                </c:pt>
                <c:pt idx="188">
                  <c:v>0.56999999999999995</c:v>
                </c:pt>
                <c:pt idx="189">
                  <c:v>0.43</c:v>
                </c:pt>
                <c:pt idx="190">
                  <c:v>0.28999999999999998</c:v>
                </c:pt>
                <c:pt idx="191">
                  <c:v>0.14000000000000001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0.12</c:v>
                </c:pt>
                <c:pt idx="206">
                  <c:v>0.23</c:v>
                </c:pt>
                <c:pt idx="207">
                  <c:v>0.35</c:v>
                </c:pt>
                <c:pt idx="208">
                  <c:v>0.46</c:v>
                </c:pt>
                <c:pt idx="209">
                  <c:v>0.57999999999999996</c:v>
                </c:pt>
                <c:pt idx="210">
                  <c:v>0.69</c:v>
                </c:pt>
                <c:pt idx="211">
                  <c:v>0.81</c:v>
                </c:pt>
                <c:pt idx="212">
                  <c:v>0.93</c:v>
                </c:pt>
                <c:pt idx="213">
                  <c:v>1.04</c:v>
                </c:pt>
                <c:pt idx="214">
                  <c:v>1.1599999999999999</c:v>
                </c:pt>
                <c:pt idx="215">
                  <c:v>1.27</c:v>
                </c:pt>
                <c:pt idx="216">
                  <c:v>1.39</c:v>
                </c:pt>
                <c:pt idx="217">
                  <c:v>1.4</c:v>
                </c:pt>
                <c:pt idx="218">
                  <c:v>1.41</c:v>
                </c:pt>
                <c:pt idx="219">
                  <c:v>1.42</c:v>
                </c:pt>
                <c:pt idx="220">
                  <c:v>1.42</c:v>
                </c:pt>
                <c:pt idx="221">
                  <c:v>1.43</c:v>
                </c:pt>
                <c:pt idx="222">
                  <c:v>1.44</c:v>
                </c:pt>
                <c:pt idx="223">
                  <c:v>1.45</c:v>
                </c:pt>
                <c:pt idx="224">
                  <c:v>1.46</c:v>
                </c:pt>
                <c:pt idx="225">
                  <c:v>1.47</c:v>
                </c:pt>
                <c:pt idx="226">
                  <c:v>1.47</c:v>
                </c:pt>
                <c:pt idx="227">
                  <c:v>1.48</c:v>
                </c:pt>
                <c:pt idx="228">
                  <c:v>1.49</c:v>
                </c:pt>
                <c:pt idx="229">
                  <c:v>1.48</c:v>
                </c:pt>
                <c:pt idx="230">
                  <c:v>1.48</c:v>
                </c:pt>
                <c:pt idx="231">
                  <c:v>1.47</c:v>
                </c:pt>
                <c:pt idx="232">
                  <c:v>1.46</c:v>
                </c:pt>
                <c:pt idx="233">
                  <c:v>1.45</c:v>
                </c:pt>
                <c:pt idx="234">
                  <c:v>1.44</c:v>
                </c:pt>
                <c:pt idx="235">
                  <c:v>1.44</c:v>
                </c:pt>
                <c:pt idx="236">
                  <c:v>1.43</c:v>
                </c:pt>
                <c:pt idx="237">
                  <c:v>1.42</c:v>
                </c:pt>
                <c:pt idx="238">
                  <c:v>1.41</c:v>
                </c:pt>
                <c:pt idx="239">
                  <c:v>1.4</c:v>
                </c:pt>
                <c:pt idx="240">
                  <c:v>1.4</c:v>
                </c:pt>
                <c:pt idx="241">
                  <c:v>1.38</c:v>
                </c:pt>
                <c:pt idx="242">
                  <c:v>1.36</c:v>
                </c:pt>
                <c:pt idx="243">
                  <c:v>1.35</c:v>
                </c:pt>
                <c:pt idx="244">
                  <c:v>1.33</c:v>
                </c:pt>
                <c:pt idx="245">
                  <c:v>1.31</c:v>
                </c:pt>
                <c:pt idx="246">
                  <c:v>1.3</c:v>
                </c:pt>
                <c:pt idx="247">
                  <c:v>1.28</c:v>
                </c:pt>
                <c:pt idx="248">
                  <c:v>1.26</c:v>
                </c:pt>
                <c:pt idx="249">
                  <c:v>1.25</c:v>
                </c:pt>
                <c:pt idx="250">
                  <c:v>1.23</c:v>
                </c:pt>
                <c:pt idx="251">
                  <c:v>1.21</c:v>
                </c:pt>
                <c:pt idx="252">
                  <c:v>1.2</c:v>
                </c:pt>
                <c:pt idx="253">
                  <c:v>1.2</c:v>
                </c:pt>
                <c:pt idx="254">
                  <c:v>1.2</c:v>
                </c:pt>
                <c:pt idx="255">
                  <c:v>1.2</c:v>
                </c:pt>
                <c:pt idx="256">
                  <c:v>1.2</c:v>
                </c:pt>
                <c:pt idx="257">
                  <c:v>1.2</c:v>
                </c:pt>
                <c:pt idx="258">
                  <c:v>1.2</c:v>
                </c:pt>
                <c:pt idx="259">
                  <c:v>1.2</c:v>
                </c:pt>
                <c:pt idx="260">
                  <c:v>1.2</c:v>
                </c:pt>
                <c:pt idx="261">
                  <c:v>1.2</c:v>
                </c:pt>
                <c:pt idx="262">
                  <c:v>1.2</c:v>
                </c:pt>
                <c:pt idx="263">
                  <c:v>1.2</c:v>
                </c:pt>
                <c:pt idx="264">
                  <c:v>1.2</c:v>
                </c:pt>
                <c:pt idx="265">
                  <c:v>1.18</c:v>
                </c:pt>
                <c:pt idx="266">
                  <c:v>1.17</c:v>
                </c:pt>
                <c:pt idx="267">
                  <c:v>1.1499999999999999</c:v>
                </c:pt>
                <c:pt idx="268">
                  <c:v>1.1299999999999999</c:v>
                </c:pt>
                <c:pt idx="269">
                  <c:v>1.1200000000000001</c:v>
                </c:pt>
                <c:pt idx="270">
                  <c:v>1.1000000000000001</c:v>
                </c:pt>
                <c:pt idx="271">
                  <c:v>1.08</c:v>
                </c:pt>
                <c:pt idx="272">
                  <c:v>1.06</c:v>
                </c:pt>
                <c:pt idx="273">
                  <c:v>1.05</c:v>
                </c:pt>
                <c:pt idx="274">
                  <c:v>1.03</c:v>
                </c:pt>
                <c:pt idx="275">
                  <c:v>1.01</c:v>
                </c:pt>
                <c:pt idx="276">
                  <c:v>1</c:v>
                </c:pt>
                <c:pt idx="277">
                  <c:v>1.1200000000000001</c:v>
                </c:pt>
                <c:pt idx="278">
                  <c:v>1.25</c:v>
                </c:pt>
                <c:pt idx="279">
                  <c:v>1.37</c:v>
                </c:pt>
                <c:pt idx="280">
                  <c:v>1.5</c:v>
                </c:pt>
                <c:pt idx="281">
                  <c:v>1.62</c:v>
                </c:pt>
                <c:pt idx="282">
                  <c:v>1.75</c:v>
                </c:pt>
                <c:pt idx="283">
                  <c:v>1.87</c:v>
                </c:pt>
                <c:pt idx="284">
                  <c:v>2</c:v>
                </c:pt>
                <c:pt idx="285">
                  <c:v>2.12</c:v>
                </c:pt>
                <c:pt idx="286">
                  <c:v>2.25</c:v>
                </c:pt>
                <c:pt idx="287">
                  <c:v>2.37</c:v>
                </c:pt>
                <c:pt idx="288">
                  <c:v>2.5</c:v>
                </c:pt>
                <c:pt idx="289">
                  <c:v>2.4900000000000002</c:v>
                </c:pt>
                <c:pt idx="290">
                  <c:v>2.48</c:v>
                </c:pt>
                <c:pt idx="291">
                  <c:v>2.4700000000000002</c:v>
                </c:pt>
                <c:pt idx="292">
                  <c:v>2.46</c:v>
                </c:pt>
                <c:pt idx="293">
                  <c:v>2.46</c:v>
                </c:pt>
                <c:pt idx="294">
                  <c:v>2.4500000000000002</c:v>
                </c:pt>
                <c:pt idx="295">
                  <c:v>2.44</c:v>
                </c:pt>
                <c:pt idx="296">
                  <c:v>2.4300000000000002</c:v>
                </c:pt>
                <c:pt idx="297">
                  <c:v>2.42</c:v>
                </c:pt>
                <c:pt idx="298">
                  <c:v>2.41</c:v>
                </c:pt>
                <c:pt idx="299">
                  <c:v>2.41</c:v>
                </c:pt>
                <c:pt idx="300">
                  <c:v>2.4</c:v>
                </c:pt>
                <c:pt idx="301">
                  <c:v>2.37</c:v>
                </c:pt>
                <c:pt idx="302">
                  <c:v>2.35</c:v>
                </c:pt>
                <c:pt idx="303">
                  <c:v>2.3199999999999998</c:v>
                </c:pt>
                <c:pt idx="304">
                  <c:v>2.2999999999999998</c:v>
                </c:pt>
                <c:pt idx="305">
                  <c:v>2.27</c:v>
                </c:pt>
                <c:pt idx="306">
                  <c:v>2.25</c:v>
                </c:pt>
                <c:pt idx="307">
                  <c:v>2.23</c:v>
                </c:pt>
                <c:pt idx="308">
                  <c:v>2.2000000000000002</c:v>
                </c:pt>
                <c:pt idx="309">
                  <c:v>2.1800000000000002</c:v>
                </c:pt>
                <c:pt idx="310">
                  <c:v>2.15</c:v>
                </c:pt>
                <c:pt idx="311">
                  <c:v>2.13</c:v>
                </c:pt>
                <c:pt idx="312">
                  <c:v>2.1</c:v>
                </c:pt>
                <c:pt idx="313">
                  <c:v>2.09</c:v>
                </c:pt>
                <c:pt idx="314">
                  <c:v>2.09</c:v>
                </c:pt>
                <c:pt idx="315">
                  <c:v>2.08</c:v>
                </c:pt>
                <c:pt idx="316">
                  <c:v>2.0699999999999998</c:v>
                </c:pt>
                <c:pt idx="317">
                  <c:v>2.06</c:v>
                </c:pt>
                <c:pt idx="318">
                  <c:v>2.0499999999999998</c:v>
                </c:pt>
                <c:pt idx="319">
                  <c:v>2.04</c:v>
                </c:pt>
                <c:pt idx="320">
                  <c:v>2.0299999999999998</c:v>
                </c:pt>
                <c:pt idx="321">
                  <c:v>2.0299999999999998</c:v>
                </c:pt>
                <c:pt idx="322">
                  <c:v>2.02</c:v>
                </c:pt>
                <c:pt idx="323">
                  <c:v>2.0099999999999998</c:v>
                </c:pt>
                <c:pt idx="324">
                  <c:v>2</c:v>
                </c:pt>
                <c:pt idx="325">
                  <c:v>2.08</c:v>
                </c:pt>
                <c:pt idx="326">
                  <c:v>2.15</c:v>
                </c:pt>
                <c:pt idx="327">
                  <c:v>2.2200000000000002</c:v>
                </c:pt>
                <c:pt idx="328">
                  <c:v>2.2999999999999998</c:v>
                </c:pt>
                <c:pt idx="329">
                  <c:v>2.37</c:v>
                </c:pt>
                <c:pt idx="330">
                  <c:v>2.4500000000000002</c:v>
                </c:pt>
                <c:pt idx="331">
                  <c:v>2.52</c:v>
                </c:pt>
                <c:pt idx="332">
                  <c:v>2.6</c:v>
                </c:pt>
                <c:pt idx="333">
                  <c:v>2.67</c:v>
                </c:pt>
                <c:pt idx="334">
                  <c:v>2.75</c:v>
                </c:pt>
                <c:pt idx="335">
                  <c:v>2.82</c:v>
                </c:pt>
                <c:pt idx="336">
                  <c:v>2.9</c:v>
                </c:pt>
                <c:pt idx="337">
                  <c:v>2.89</c:v>
                </c:pt>
                <c:pt idx="338">
                  <c:v>2.88</c:v>
                </c:pt>
                <c:pt idx="339">
                  <c:v>2.87</c:v>
                </c:pt>
                <c:pt idx="340">
                  <c:v>2.86</c:v>
                </c:pt>
                <c:pt idx="341">
                  <c:v>2.86</c:v>
                </c:pt>
                <c:pt idx="342">
                  <c:v>2.85</c:v>
                </c:pt>
                <c:pt idx="343">
                  <c:v>2.84</c:v>
                </c:pt>
                <c:pt idx="344">
                  <c:v>2.83</c:v>
                </c:pt>
                <c:pt idx="345">
                  <c:v>2.82</c:v>
                </c:pt>
                <c:pt idx="346">
                  <c:v>2.82</c:v>
                </c:pt>
                <c:pt idx="347">
                  <c:v>2.81</c:v>
                </c:pt>
                <c:pt idx="348">
                  <c:v>2.8</c:v>
                </c:pt>
                <c:pt idx="349">
                  <c:v>2.69</c:v>
                </c:pt>
                <c:pt idx="350">
                  <c:v>2.58</c:v>
                </c:pt>
                <c:pt idx="351">
                  <c:v>2.48</c:v>
                </c:pt>
                <c:pt idx="352">
                  <c:v>2.37</c:v>
                </c:pt>
                <c:pt idx="353">
                  <c:v>2.2599999999999998</c:v>
                </c:pt>
                <c:pt idx="354">
                  <c:v>2.15</c:v>
                </c:pt>
                <c:pt idx="355">
                  <c:v>2.04</c:v>
                </c:pt>
                <c:pt idx="356">
                  <c:v>1.93</c:v>
                </c:pt>
                <c:pt idx="357">
                  <c:v>1.83</c:v>
                </c:pt>
                <c:pt idx="358">
                  <c:v>1.72</c:v>
                </c:pt>
                <c:pt idx="359">
                  <c:v>1.61</c:v>
                </c:pt>
                <c:pt idx="360">
                  <c:v>1.5</c:v>
                </c:pt>
                <c:pt idx="361">
                  <c:v>1.51</c:v>
                </c:pt>
                <c:pt idx="362">
                  <c:v>1.52</c:v>
                </c:pt>
                <c:pt idx="363">
                  <c:v>1.53</c:v>
                </c:pt>
                <c:pt idx="364">
                  <c:v>1.53</c:v>
                </c:pt>
                <c:pt idx="365">
                  <c:v>1.54</c:v>
                </c:pt>
                <c:pt idx="366">
                  <c:v>1.55</c:v>
                </c:pt>
                <c:pt idx="367">
                  <c:v>1.56</c:v>
                </c:pt>
                <c:pt idx="368">
                  <c:v>1.57</c:v>
                </c:pt>
                <c:pt idx="369">
                  <c:v>1.58</c:v>
                </c:pt>
                <c:pt idx="370">
                  <c:v>1.58</c:v>
                </c:pt>
                <c:pt idx="371">
                  <c:v>1.59</c:v>
                </c:pt>
                <c:pt idx="372">
                  <c:v>1.6</c:v>
                </c:pt>
                <c:pt idx="373">
                  <c:v>1.47</c:v>
                </c:pt>
                <c:pt idx="374">
                  <c:v>1.33</c:v>
                </c:pt>
                <c:pt idx="375">
                  <c:v>1.2</c:v>
                </c:pt>
                <c:pt idx="376">
                  <c:v>1.07</c:v>
                </c:pt>
                <c:pt idx="377">
                  <c:v>0.93</c:v>
                </c:pt>
                <c:pt idx="378">
                  <c:v>0.8</c:v>
                </c:pt>
                <c:pt idx="379">
                  <c:v>0.67</c:v>
                </c:pt>
                <c:pt idx="380">
                  <c:v>0.53</c:v>
                </c:pt>
                <c:pt idx="381">
                  <c:v>0.4</c:v>
                </c:pt>
                <c:pt idx="382">
                  <c:v>0.27</c:v>
                </c:pt>
                <c:pt idx="383">
                  <c:v>0.13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0.04</c:v>
                </c:pt>
                <c:pt idx="398">
                  <c:v>0.08</c:v>
                </c:pt>
                <c:pt idx="399">
                  <c:v>0.11</c:v>
                </c:pt>
                <c:pt idx="400">
                  <c:v>0.15</c:v>
                </c:pt>
                <c:pt idx="401">
                  <c:v>0.19</c:v>
                </c:pt>
                <c:pt idx="402">
                  <c:v>0.23</c:v>
                </c:pt>
                <c:pt idx="403">
                  <c:v>0.26</c:v>
                </c:pt>
                <c:pt idx="404">
                  <c:v>0.3</c:v>
                </c:pt>
                <c:pt idx="405">
                  <c:v>0.34</c:v>
                </c:pt>
                <c:pt idx="406">
                  <c:v>0.38</c:v>
                </c:pt>
                <c:pt idx="407">
                  <c:v>0.42</c:v>
                </c:pt>
                <c:pt idx="408">
                  <c:v>0.45</c:v>
                </c:pt>
                <c:pt idx="409">
                  <c:v>0.49</c:v>
                </c:pt>
                <c:pt idx="410">
                  <c:v>0.52</c:v>
                </c:pt>
                <c:pt idx="411">
                  <c:v>0.55000000000000004</c:v>
                </c:pt>
                <c:pt idx="412">
                  <c:v>0.57999999999999996</c:v>
                </c:pt>
                <c:pt idx="413">
                  <c:v>0.61</c:v>
                </c:pt>
                <c:pt idx="414">
                  <c:v>0.65</c:v>
                </c:pt>
                <c:pt idx="415">
                  <c:v>0.68</c:v>
                </c:pt>
                <c:pt idx="416">
                  <c:v>0.71</c:v>
                </c:pt>
                <c:pt idx="417">
                  <c:v>0.74</c:v>
                </c:pt>
                <c:pt idx="418">
                  <c:v>0.77</c:v>
                </c:pt>
                <c:pt idx="419">
                  <c:v>0.81</c:v>
                </c:pt>
                <c:pt idx="420">
                  <c:v>0.84</c:v>
                </c:pt>
                <c:pt idx="421">
                  <c:v>0.89</c:v>
                </c:pt>
                <c:pt idx="422">
                  <c:v>0.95</c:v>
                </c:pt>
                <c:pt idx="423">
                  <c:v>1.01</c:v>
                </c:pt>
                <c:pt idx="424">
                  <c:v>1.06</c:v>
                </c:pt>
                <c:pt idx="425">
                  <c:v>1.1200000000000001</c:v>
                </c:pt>
                <c:pt idx="426">
                  <c:v>1.17</c:v>
                </c:pt>
                <c:pt idx="427">
                  <c:v>1.23</c:v>
                </c:pt>
                <c:pt idx="428">
                  <c:v>1.28</c:v>
                </c:pt>
                <c:pt idx="429">
                  <c:v>1.34</c:v>
                </c:pt>
                <c:pt idx="430">
                  <c:v>1.39</c:v>
                </c:pt>
                <c:pt idx="431">
                  <c:v>1.45</c:v>
                </c:pt>
                <c:pt idx="432">
                  <c:v>1.51</c:v>
                </c:pt>
                <c:pt idx="433">
                  <c:v>1.48</c:v>
                </c:pt>
                <c:pt idx="434">
                  <c:v>1.46</c:v>
                </c:pt>
                <c:pt idx="435">
                  <c:v>1.43</c:v>
                </c:pt>
                <c:pt idx="436">
                  <c:v>1.4</c:v>
                </c:pt>
                <c:pt idx="437">
                  <c:v>1.38</c:v>
                </c:pt>
                <c:pt idx="438">
                  <c:v>1.35</c:v>
                </c:pt>
                <c:pt idx="439">
                  <c:v>1.33</c:v>
                </c:pt>
                <c:pt idx="440">
                  <c:v>1.3</c:v>
                </c:pt>
                <c:pt idx="441">
                  <c:v>1.28</c:v>
                </c:pt>
                <c:pt idx="442">
                  <c:v>1.25</c:v>
                </c:pt>
                <c:pt idx="443">
                  <c:v>1.23</c:v>
                </c:pt>
                <c:pt idx="444">
                  <c:v>1.2</c:v>
                </c:pt>
                <c:pt idx="588">
                  <c:v>1.5</c:v>
                </c:pt>
                <c:pt idx="589">
                  <c:v>1.47</c:v>
                </c:pt>
                <c:pt idx="590">
                  <c:v>1.66</c:v>
                </c:pt>
                <c:pt idx="591">
                  <c:v>1.78</c:v>
                </c:pt>
                <c:pt idx="592">
                  <c:v>1.68</c:v>
                </c:pt>
                <c:pt idx="593">
                  <c:v>1.54</c:v>
                </c:pt>
                <c:pt idx="594">
                  <c:v>1.41</c:v>
                </c:pt>
                <c:pt idx="595">
                  <c:v>1.33</c:v>
                </c:pt>
                <c:pt idx="596">
                  <c:v>1.05</c:v>
                </c:pt>
                <c:pt idx="597">
                  <c:v>0.56999999999999995</c:v>
                </c:pt>
                <c:pt idx="598">
                  <c:v>0.49</c:v>
                </c:pt>
                <c:pt idx="599">
                  <c:v>0.9</c:v>
                </c:pt>
                <c:pt idx="600">
                  <c:v>0.84</c:v>
                </c:pt>
                <c:pt idx="601">
                  <c:v>0.87</c:v>
                </c:pt>
                <c:pt idx="602">
                  <c:v>0.9</c:v>
                </c:pt>
                <c:pt idx="603">
                  <c:v>1.35</c:v>
                </c:pt>
                <c:pt idx="604">
                  <c:v>0.73</c:v>
                </c:pt>
                <c:pt idx="605">
                  <c:v>0.7</c:v>
                </c:pt>
                <c:pt idx="606">
                  <c:v>0.47</c:v>
                </c:pt>
                <c:pt idx="607">
                  <c:v>0.33</c:v>
                </c:pt>
                <c:pt idx="608">
                  <c:v>0.34</c:v>
                </c:pt>
                <c:pt idx="609">
                  <c:v>0.17</c:v>
                </c:pt>
                <c:pt idx="610">
                  <c:v>0.09</c:v>
                </c:pt>
                <c:pt idx="611">
                  <c:v>0.01</c:v>
                </c:pt>
                <c:pt idx="612">
                  <c:v>0.57999999999999996</c:v>
                </c:pt>
                <c:pt idx="613">
                  <c:v>1.32</c:v>
                </c:pt>
                <c:pt idx="614">
                  <c:v>1.66</c:v>
                </c:pt>
                <c:pt idx="615">
                  <c:v>1.52</c:v>
                </c:pt>
                <c:pt idx="616">
                  <c:v>1.29</c:v>
                </c:pt>
                <c:pt idx="617">
                  <c:v>1.19</c:v>
                </c:pt>
                <c:pt idx="618">
                  <c:v>1.08</c:v>
                </c:pt>
                <c:pt idx="619">
                  <c:v>1.01</c:v>
                </c:pt>
                <c:pt idx="620">
                  <c:v>0.88</c:v>
                </c:pt>
                <c:pt idx="621">
                  <c:v>0.67</c:v>
                </c:pt>
                <c:pt idx="622">
                  <c:v>0.38</c:v>
                </c:pt>
                <c:pt idx="623">
                  <c:v>0.35</c:v>
                </c:pt>
                <c:pt idx="624">
                  <c:v>0.5</c:v>
                </c:pt>
                <c:pt idx="625">
                  <c:v>0.8</c:v>
                </c:pt>
                <c:pt idx="626">
                  <c:v>1.1299999999999999</c:v>
                </c:pt>
                <c:pt idx="627">
                  <c:v>1.19</c:v>
                </c:pt>
                <c:pt idx="628">
                  <c:v>1.01</c:v>
                </c:pt>
                <c:pt idx="629">
                  <c:v>0.93</c:v>
                </c:pt>
                <c:pt idx="630">
                  <c:v>0.76</c:v>
                </c:pt>
                <c:pt idx="631">
                  <c:v>0.61</c:v>
                </c:pt>
                <c:pt idx="632">
                  <c:v>0.5</c:v>
                </c:pt>
                <c:pt idx="633">
                  <c:v>0.34</c:v>
                </c:pt>
                <c:pt idx="634">
                  <c:v>0.06</c:v>
                </c:pt>
                <c:pt idx="635">
                  <c:v>0.02</c:v>
                </c:pt>
                <c:pt idx="636">
                  <c:v>0.92</c:v>
                </c:pt>
                <c:pt idx="637">
                  <c:v>2.3199999999999998</c:v>
                </c:pt>
                <c:pt idx="638">
                  <c:v>2.8</c:v>
                </c:pt>
                <c:pt idx="639">
                  <c:v>2.5499999999999998</c:v>
                </c:pt>
                <c:pt idx="640">
                  <c:v>2.46</c:v>
                </c:pt>
                <c:pt idx="641">
                  <c:v>2.38</c:v>
                </c:pt>
                <c:pt idx="642">
                  <c:v>2.31</c:v>
                </c:pt>
                <c:pt idx="643">
                  <c:v>2.1800000000000002</c:v>
                </c:pt>
                <c:pt idx="644">
                  <c:v>2.04</c:v>
                </c:pt>
                <c:pt idx="645">
                  <c:v>1.8</c:v>
                </c:pt>
                <c:pt idx="646">
                  <c:v>1.41</c:v>
                </c:pt>
                <c:pt idx="647">
                  <c:v>1.01</c:v>
                </c:pt>
                <c:pt idx="648">
                  <c:v>0.82</c:v>
                </c:pt>
                <c:pt idx="649">
                  <c:v>1.26</c:v>
                </c:pt>
                <c:pt idx="650">
                  <c:v>1.31</c:v>
                </c:pt>
                <c:pt idx="651">
                  <c:v>1.23</c:v>
                </c:pt>
                <c:pt idx="652">
                  <c:v>0.88</c:v>
                </c:pt>
                <c:pt idx="653">
                  <c:v>0.85</c:v>
                </c:pt>
                <c:pt idx="654">
                  <c:v>0.56999999999999995</c:v>
                </c:pt>
                <c:pt idx="655">
                  <c:v>0.54</c:v>
                </c:pt>
                <c:pt idx="656">
                  <c:v>0.46</c:v>
                </c:pt>
                <c:pt idx="657">
                  <c:v>0.37</c:v>
                </c:pt>
                <c:pt idx="658">
                  <c:v>0.3</c:v>
                </c:pt>
                <c:pt idx="677" formatCode="_(* #,##0.00_);_(* \(#,##0.00\);_(* &quot;-&quot;??_);_(@_)">
                  <c:v>0.94336150515505324</c:v>
                </c:pt>
                <c:pt idx="683" formatCode="_(* #,##0.00_);_(* \(#,##0.00\);_(* &quot;-&quot;??_);_(@_)">
                  <c:v>1.5045685566110478</c:v>
                </c:pt>
                <c:pt idx="684" formatCode="_(* #,##0.00_);_(* \(#,##0.00\);_(* &quot;-&quot;??_);_(@_)">
                  <c:v>1.5322518279200494</c:v>
                </c:pt>
                <c:pt idx="685" formatCode="_(* #,##0.00_);_(* \(#,##0.00\);_(* &quot;-&quot;??_);_(@_)">
                  <c:v>1.0062202508960354</c:v>
                </c:pt>
                <c:pt idx="686" formatCode="_(* #,##0.00_);_(* \(#,##0.00\);_(* &quot;-&quot;??_);_(@_)">
                  <c:v>1.6324055642908206</c:v>
                </c:pt>
                <c:pt idx="687" formatCode="_(* #,##0.00_);_(* \(#,##0.00\);_(* &quot;-&quot;??_);_(@_)">
                  <c:v>1.9658115601183681</c:v>
                </c:pt>
                <c:pt idx="688" formatCode="_(* #,##0.00_);_(* \(#,##0.00\);_(* &quot;-&quot;??_);_(@_)">
                  <c:v>1.8984691668202913</c:v>
                </c:pt>
                <c:pt idx="689" formatCode="_(* #,##0.00_);_(* \(#,##0.00\);_(* &quot;-&quot;??_);_(@_)">
                  <c:v>1.7553954740629933</c:v>
                </c:pt>
                <c:pt idx="690" formatCode="_(* #,##0.00_);_(* \(#,##0.00\);_(* &quot;-&quot;??_);_(@_)">
                  <c:v>1.6535593526028833</c:v>
                </c:pt>
                <c:pt idx="691" formatCode="_(* #,##0.00_);_(* \(#,##0.00\);_(* &quot;-&quot;??_);_(@_)">
                  <c:v>1.6742196249888366</c:v>
                </c:pt>
                <c:pt idx="692" formatCode="_(* #,##0.00_);_(* \(#,##0.00\);_(* &quot;-&quot;??_);_(@_)">
                  <c:v>1.3598723181103196</c:v>
                </c:pt>
                <c:pt idx="693" formatCode="_(* #,##0.00_);_(* \(#,##0.00\);_(* &quot;-&quot;??_);_(@_)">
                  <c:v>1.2808209467117422</c:v>
                </c:pt>
                <c:pt idx="694" formatCode="_(* #,##0.00_);_(* \(#,##0.00\);_(* &quot;-&quot;??_);_(@_)">
                  <c:v>1.2030422466847313</c:v>
                </c:pt>
                <c:pt idx="695" formatCode="_(* #,##0.00_);_(* \(#,##0.00\);_(* &quot;-&quot;??_);_(@_)">
                  <c:v>1.115090274172303</c:v>
                </c:pt>
                <c:pt idx="696" formatCode="_(* #,##0.00_);_(* \(#,##0.00\);_(* &quot;-&quot;??_);_(@_)">
                  <c:v>1.8856992644180082</c:v>
                </c:pt>
                <c:pt idx="697" formatCode="_(* #,##0.00_);_(* \(#,##0.00\);_(* &quot;-&quot;??_);_(@_)">
                  <c:v>1.6989924326400114</c:v>
                </c:pt>
                <c:pt idx="698" formatCode="_(* #,##0.00_);_(* \(#,##0.00\);_(* &quot;-&quot;??_);_(@_)">
                  <c:v>1.4674845013570348</c:v>
                </c:pt>
                <c:pt idx="699" formatCode="_(* #,##0.00_);_(* \(#,##0.00\);_(* &quot;-&quot;??_);_(@_)">
                  <c:v>1.4214006215514701</c:v>
                </c:pt>
                <c:pt idx="700" formatCode="_(* #,##0.00_);_(* \(#,##0.00\);_(* &quot;-&quot;??_);_(@_)">
                  <c:v>1.6362079127786728</c:v>
                </c:pt>
                <c:pt idx="701" formatCode="_(* #,##0.00_);_(* \(#,##0.00\);_(* &quot;-&quot;??_);_(@_)">
                  <c:v>1.7674812376505997</c:v>
                </c:pt>
                <c:pt idx="702" formatCode="_(* #,##0.00_);_(* \(#,##0.00\);_(* &quot;-&quot;??_);_(@_)">
                  <c:v>1.5165465118635666</c:v>
                </c:pt>
                <c:pt idx="703" formatCode="_(* #,##0.00_);_(* \(#,##0.00\);_(* &quot;-&quot;??_);_(@_)">
                  <c:v>1.8541030595507664</c:v>
                </c:pt>
                <c:pt idx="704" formatCode="_(* #,##0.00_);_(* \(#,##0.00\);_(* &quot;-&quot;??_);_(@_)">
                  <c:v>1.586129778436657</c:v>
                </c:pt>
                <c:pt idx="705" formatCode="_(* #,##0.00_);_(* \(#,##0.00\);_(* &quot;-&quot;??_);_(@_)">
                  <c:v>1.6017024122022576</c:v>
                </c:pt>
                <c:pt idx="706" formatCode="_(* #,##0.00_);_(* \(#,##0.00\);_(* &quot;-&quot;??_);_(@_)">
                  <c:v>1.6534481875393112</c:v>
                </c:pt>
                <c:pt idx="707" formatCode="_(* #,##0.00_);_(* \(#,##0.00\);_(* &quot;-&quot;??_);_(@_)">
                  <c:v>1.6513338993000843</c:v>
                </c:pt>
                <c:pt idx="708" formatCode="_(* #,##0.00_);_(* \(#,##0.00\);_(* &quot;-&quot;??_);_(@_)">
                  <c:v>2.818146104792504</c:v>
                </c:pt>
                <c:pt idx="709" formatCode="_(* #,##0.00_);_(* \(#,##0.00\);_(* &quot;-&quot;??_);_(@_)">
                  <c:v>3.3885155677789953</c:v>
                </c:pt>
                <c:pt idx="710" formatCode="_(* #,##0.00_);_(* \(#,##0.00\);_(* &quot;-&quot;??_);_(@_)">
                  <c:v>2.2117205977177719</c:v>
                </c:pt>
                <c:pt idx="711" formatCode="_(* #,##0.00_);_(* \(#,##0.00\);_(* &quot;-&quot;??_);_(@_)">
                  <c:v>1.5704155739796306</c:v>
                </c:pt>
                <c:pt idx="712" formatCode="_(* #,##0.00_);_(* \(#,##0.00\);_(* &quot;-&quot;??_);_(@_)">
                  <c:v>1.4778402054502067</c:v>
                </c:pt>
                <c:pt idx="713" formatCode="_(* #,##0.00_);_(* \(#,##0.00\);_(* &quot;-&quot;??_);_(@_)">
                  <c:v>1.7640928527142705</c:v>
                </c:pt>
                <c:pt idx="714" formatCode="_(* #,##0.00_);_(* \(#,##0.00\);_(* &quot;-&quot;??_);_(@_)">
                  <c:v>1.6639871994498208</c:v>
                </c:pt>
                <c:pt idx="715" formatCode="_(* #,##0.00_);_(* \(#,##0.00\);_(* &quot;-&quot;??_);_(@_)">
                  <c:v>1.3497676328306625</c:v>
                </c:pt>
                <c:pt idx="716" formatCode="_(* #,##0.00_);_(* \(#,##0.00\);_(* &quot;-&quot;??_);_(@_)">
                  <c:v>1.3653707621620015</c:v>
                </c:pt>
                <c:pt idx="717" formatCode="_(* #,##0.00_);_(* \(#,##0.00\);_(* &quot;-&quot;??_);_(@_)">
                  <c:v>1.3627407215250287</c:v>
                </c:pt>
                <c:pt idx="718" formatCode="_(* #,##0.00_);_(* \(#,##0.00\);_(* &quot;-&quot;??_);_(@_)">
                  <c:v>1.3028819819662658</c:v>
                </c:pt>
                <c:pt idx="719" formatCode="_(* #,##0.00_);_(* \(#,##0.00\);_(* &quot;-&quot;??_);_(@_)">
                  <c:v>0.9934044522400427</c:v>
                </c:pt>
                <c:pt idx="720" formatCode="_(* #,##0.00_);_(* \(#,##0.00\);_(* &quot;-&quot;??_);_(@_)">
                  <c:v>2.6174879931230635</c:v>
                </c:pt>
                <c:pt idx="721" formatCode="_(* #,##0.00_);_(* \(#,##0.00\);_(* &quot;-&quot;??_);_(@_)">
                  <c:v>1.7552339120245506</c:v>
                </c:pt>
                <c:pt idx="722" formatCode="_(* #,##0.00_);_(* \(#,##0.00\);_(* &quot;-&quot;??_);_(@_)">
                  <c:v>1.9790546758027858</c:v>
                </c:pt>
                <c:pt idx="723" formatCode="_(* #,##0.00_);_(* \(#,##0.00\);_(* &quot;-&quot;??_);_(@_)">
                  <c:v>1.7503089615460112</c:v>
                </c:pt>
                <c:pt idx="724" formatCode="_(* #,##0.00_);_(* \(#,##0.00\);_(* &quot;-&quot;??_);_(@_)">
                  <c:v>1.6358575879238515</c:v>
                </c:pt>
                <c:pt idx="725" formatCode="_(* #,##0.00_);_(* \(#,##0.00\);_(* &quot;-&quot;??_);_(@_)">
                  <c:v>1.6933273564700357</c:v>
                </c:pt>
                <c:pt idx="726" formatCode="_(* #,##0.00_);_(* \(#,##0.00\);_(* &quot;-&quot;??_);_(@_)">
                  <c:v>1.5959317178898118</c:v>
                </c:pt>
                <c:pt idx="727" formatCode="_(* #,##0.00_);_(* \(#,##0.00\);_(* &quot;-&quot;??_);_(@_)">
                  <c:v>1.632031092404759</c:v>
                </c:pt>
                <c:pt idx="728" formatCode="_(* #,##0.00_);_(* \(#,##0.00\);_(* &quot;-&quot;??_);_(@_)">
                  <c:v>1.7649004277683389</c:v>
                </c:pt>
                <c:pt idx="729" formatCode="_(* #,##0.00_);_(* \(#,##0.00\);_(* &quot;-&quot;??_);_(@_)">
                  <c:v>1.5374777778993121</c:v>
                </c:pt>
                <c:pt idx="730" formatCode="_(* #,##0.00_);_(* \(#,##0.00\);_(* &quot;-&quot;??_);_(@_)">
                  <c:v>1.587605212862627</c:v>
                </c:pt>
                <c:pt idx="731" formatCode="_(* #,##0.00_);_(* \(#,##0.00\);_(* &quot;-&quot;??_);_(@_)">
                  <c:v>1.4745754318420268</c:v>
                </c:pt>
                <c:pt idx="732" formatCode="_(* #,##0.00_);_(* \(#,##0.00\);_(* &quot;-&quot;??_);_(@_)">
                  <c:v>2.034309759980033</c:v>
                </c:pt>
                <c:pt idx="733" formatCode="_(* #,##0.00_);_(* \(#,##0.00\);_(* &quot;-&quot;??_);_(@_)">
                  <c:v>1.8147125664750092</c:v>
                </c:pt>
                <c:pt idx="734" formatCode="_(* #,##0.00_);_(* \(#,##0.00\);_(* &quot;-&quot;??_);_(@_)">
                  <c:v>2.9137797209356222</c:v>
                </c:pt>
                <c:pt idx="735" formatCode="_(* #,##0.00_);_(* \(#,##0.00\);_(* &quot;-&quot;??_);_(@_)">
                  <c:v>4.4190844216909682</c:v>
                </c:pt>
                <c:pt idx="736" formatCode="_(* #,##0.00_);_(* \(#,##0.00\);_(* &quot;-&quot;??_);_(@_)">
                  <c:v>4.12056177940201</c:v>
                </c:pt>
                <c:pt idx="737" formatCode="_(* #,##0.00_);_(* \(#,##0.00\);_(* &quot;-&quot;??_);_(@_)">
                  <c:v>4.0802381258756668</c:v>
                </c:pt>
                <c:pt idx="738" formatCode="_(* #,##0.00_);_(* \(#,##0.00\);_(* &quot;-&quot;??_);_(@_)">
                  <c:v>4.0835069060982505</c:v>
                </c:pt>
                <c:pt idx="739" formatCode="_(* #,##0.00_);_(* \(#,##0.00\);_(* &quot;-&quot;??_);_(@_)">
                  <c:v>4.0682050180870419</c:v>
                </c:pt>
                <c:pt idx="740" formatCode="_(* #,##0.00_);_(* \(#,##0.00\);_(* &quot;-&quot;??_);_(@_)">
                  <c:v>4.0469959294197224</c:v>
                </c:pt>
                <c:pt idx="741" formatCode="_(* #,##0.00_);_(* \(#,##0.00\);_(* &quot;-&quot;??_);_(@_)">
                  <c:v>4.0689875483220703</c:v>
                </c:pt>
                <c:pt idx="742" formatCode="_(* #,##0.00_);_(* \(#,##0.00\);_(* &quot;-&quot;??_);_(@_)">
                  <c:v>3.880704340114562</c:v>
                </c:pt>
                <c:pt idx="743" formatCode="_(* #,##0.00_);_(* \(#,##0.00\);_(* &quot;-&quot;??_);_(@_)">
                  <c:v>4.2570853577925618</c:v>
                </c:pt>
                <c:pt idx="744" formatCode="_(* #,##0.00_);_(* \(#,##0.00\);_(* &quot;-&quot;??_);_(@_)">
                  <c:v>4.1319876168710152</c:v>
                </c:pt>
                <c:pt idx="745" formatCode="_(* #,##0.00_);_(* \(#,##0.00\);_(* &quot;-&quot;??_);_(@_)">
                  <c:v>3.9600567682432484</c:v>
                </c:pt>
                <c:pt idx="746" formatCode="_(* #,##0.00_);_(* \(#,##0.00\);_(* &quot;-&quot;??_);_(@_)">
                  <c:v>3.8198847553094311</c:v>
                </c:pt>
                <c:pt idx="747" formatCode="_(* #,##0.00_);_(* \(#,##0.00\);_(* &quot;-&quot;??_);_(@_)">
                  <c:v>4.1319029920330195</c:v>
                </c:pt>
                <c:pt idx="748" formatCode="_(* #,##0.00_);_(* \(#,##0.00\);_(* &quot;-&quot;??_);_(@_)">
                  <c:v>4.04866546460471</c:v>
                </c:pt>
                <c:pt idx="749" formatCode="_(* #,##0.00_);_(* \(#,##0.00\);_(* &quot;-&quot;??_);_(@_)">
                  <c:v>4.1138559069397616</c:v>
                </c:pt>
                <c:pt idx="750" formatCode="_(* #,##0.00_);_(* \(#,##0.00\);_(* &quot;-&quot;??_);_(@_)">
                  <c:v>3.6294420485335195</c:v>
                </c:pt>
                <c:pt idx="751" formatCode="_(* #,##0.00_);_(* \(#,##0.00\);_(* &quot;-&quot;??_);_(@_)">
                  <c:v>3.8943154795236978</c:v>
                </c:pt>
                <c:pt idx="752" formatCode="_(* #,##0.00_);_(* \(#,##0.00\);_(* &quot;-&quot;??_);_(@_)">
                  <c:v>3.6691343145004112</c:v>
                </c:pt>
                <c:pt idx="753" formatCode="_(* #,##0.00_);_(* \(#,##0.00\);_(* &quot;-&quot;??_);_(@_)">
                  <c:v>3.6563779229931015</c:v>
                </c:pt>
                <c:pt idx="754" formatCode="_(* #,##0.00_);_(* \(#,##0.00\);_(* &quot;-&quot;??_);_(@_)">
                  <c:v>3.5993509631920233</c:v>
                </c:pt>
                <c:pt idx="755" formatCode="_(* #,##0.00_);_(* \(#,##0.00\);_(* &quot;-&quot;??_);_(@_)">
                  <c:v>3.5556194478527914</c:v>
                </c:pt>
                <c:pt idx="756" formatCode="_(* #,##0.00_);_(* \(#,##0.00\);_(* &quot;-&quot;??_);_(@_)">
                  <c:v>3.6941980173750153</c:v>
                </c:pt>
                <c:pt idx="757" formatCode="_(* #,##0.00_);_(* \(#,##0.00\);_(* &quot;-&quot;??_);_(@_)">
                  <c:v>3.4452770860650617</c:v>
                </c:pt>
                <c:pt idx="758" formatCode="_(* #,##0.00_);_(* \(#,##0.00\);_(* &quot;-&quot;??_);_(@_)">
                  <c:v>3.6403824318088027</c:v>
                </c:pt>
                <c:pt idx="759" formatCode="_(* #,##0.00_);_(* \(#,##0.00\);_(* &quot;-&quot;??_);_(@_)">
                  <c:v>3.7557838432900326</c:v>
                </c:pt>
                <c:pt idx="760" formatCode="_(* #,##0.00_);_(* \(#,##0.00\);_(* &quot;-&quot;??_);_(@_)">
                  <c:v>3.6184613850380174</c:v>
                </c:pt>
                <c:pt idx="761" formatCode="_(* #,##0.00_);_(* \(#,##0.00\);_(* &quot;-&quot;??_);_(@_)">
                  <c:v>3.4878553901847908</c:v>
                </c:pt>
                <c:pt idx="762" formatCode="_(* #,##0.00_);_(* \(#,##0.00\);_(* &quot;-&quot;??_);_(@_)">
                  <c:v>3.5050523312143014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75-4174-B15D-8EFA75689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3297999"/>
        <c:axId val="1503294159"/>
      </c:lineChart>
      <c:dateAx>
        <c:axId val="1503297999"/>
        <c:scaling>
          <c:orientation val="minMax"/>
          <c:min val="40179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294159"/>
        <c:crosses val="autoZero"/>
        <c:auto val="1"/>
        <c:lblOffset val="100"/>
        <c:baseTimeUnit val="months"/>
      </c:dateAx>
      <c:valAx>
        <c:axId val="15032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329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627528</xdr:colOff>
      <xdr:row>5</xdr:row>
      <xdr:rowOff>11205</xdr:rowOff>
    </xdr:from>
    <xdr:to>
      <xdr:col>24</xdr:col>
      <xdr:colOff>44823</xdr:colOff>
      <xdr:row>37</xdr:row>
      <xdr:rowOff>162486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61F0DB-46CE-10B7-50D4-50AFA19D2C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reliefweb.int/report/malawi/southern-africa-tropical-cyclone-chido-update-15-dec-2024" TargetMode="External"/><Relationship Id="rId13" Type="http://schemas.openxmlformats.org/officeDocument/2006/relationships/hyperlink" Target="https://reliefweb.int/report/malawi/southern-africa-tropical-storm-delfina-update-5-jan-2003" TargetMode="External"/><Relationship Id="rId18" Type="http://schemas.openxmlformats.org/officeDocument/2006/relationships/hyperlink" Target="https://www.newsweek.com/deadly-cyclone-dikeledi-claims-lives-2025" TargetMode="External"/><Relationship Id="rId3" Type="http://schemas.openxmlformats.org/officeDocument/2006/relationships/hyperlink" Target="https://reliefweb.int/report/malawi/southern-africa-floods-update-3-jan-2000" TargetMode="External"/><Relationship Id="rId7" Type="http://schemas.openxmlformats.org/officeDocument/2006/relationships/hyperlink" Target="https://www.worlddata.info/africa/malawi/cyclones.php" TargetMode="External"/><Relationship Id="rId12" Type="http://schemas.openxmlformats.org/officeDocument/2006/relationships/hyperlink" Target="https://reliefweb.int/report/malawi/southern-africa-floods-update-3-jan-2000" TargetMode="External"/><Relationship Id="rId17" Type="http://schemas.openxmlformats.org/officeDocument/2006/relationships/hyperlink" Target="https://reliefweb.int/report/malawi/southern-africa-tropical-cyclone-chido-update-15-dec-2024" TargetMode="External"/><Relationship Id="rId2" Type="http://schemas.openxmlformats.org/officeDocument/2006/relationships/hyperlink" Target="https://doi.org/10.1016/S0921-8181(98)00017-9" TargetMode="External"/><Relationship Id="rId16" Type="http://schemas.openxmlformats.org/officeDocument/2006/relationships/hyperlink" Target="https://www.worlddata.info/africa/malawi/cyclones.php" TargetMode="External"/><Relationship Id="rId1" Type="http://schemas.openxmlformats.org/officeDocument/2006/relationships/hyperlink" Target="https://doi.org/10.1007/s00704-008-0067-1" TargetMode="External"/><Relationship Id="rId6" Type="http://schemas.openxmlformats.org/officeDocument/2006/relationships/hyperlink" Target="https://www.preventionweb.net/news/facts-cyclone-idais-effect-malawi" TargetMode="External"/><Relationship Id="rId11" Type="http://schemas.openxmlformats.org/officeDocument/2006/relationships/hyperlink" Target="https://doi.org/10.1016/S0921-8181(98)00017-9" TargetMode="External"/><Relationship Id="rId5" Type="http://schemas.openxmlformats.org/officeDocument/2006/relationships/hyperlink" Target="https://reliefweb.int/report/malawi/southern-africa-cyclone-dineo-update-17-feb-2017" TargetMode="External"/><Relationship Id="rId15" Type="http://schemas.openxmlformats.org/officeDocument/2006/relationships/hyperlink" Target="https://www.preventionweb.net/news/facts-cyclone-idais-effect-malawi" TargetMode="External"/><Relationship Id="rId10" Type="http://schemas.openxmlformats.org/officeDocument/2006/relationships/hyperlink" Target="https://doi.org/10.1007/s00704-008-0067-1" TargetMode="External"/><Relationship Id="rId4" Type="http://schemas.openxmlformats.org/officeDocument/2006/relationships/hyperlink" Target="https://reliefweb.int/report/malawi/southern-africa-tropical-storm-delfina-update-5-jan-2003" TargetMode="External"/><Relationship Id="rId9" Type="http://schemas.openxmlformats.org/officeDocument/2006/relationships/hyperlink" Target="https://www.newsweek.com/deadly-cyclone-dikeledi-claims-lives-2025" TargetMode="External"/><Relationship Id="rId14" Type="http://schemas.openxmlformats.org/officeDocument/2006/relationships/hyperlink" Target="https://reliefweb.int/report/malawi/southern-africa-cyclone-dineo-update-17-feb-20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sheetPr>
    <tabColor rgb="FFFFC000"/>
  </sheetPr>
  <dimension ref="A1:C764"/>
  <sheetViews>
    <sheetView zoomScale="85" zoomScaleNormal="85" workbookViewId="0">
      <pane xSplit="1" ySplit="1" topLeftCell="B686" activePane="bottomRight" state="frozen"/>
      <selection pane="topRight" activeCell="B1" sqref="B1"/>
      <selection pane="bottomLeft" activeCell="A2" sqref="A2"/>
      <selection pane="bottomRight" activeCell="A689" sqref="A689:XFD689"/>
    </sheetView>
  </sheetViews>
  <sheetFormatPr defaultRowHeight="14.25" x14ac:dyDescent="0.45"/>
  <cols>
    <col min="1" max="1" width="18.1328125" bestFit="1" customWidth="1"/>
    <col min="2" max="2" width="12.86328125" bestFit="1" customWidth="1"/>
  </cols>
  <sheetData>
    <row r="1" spans="1:3" x14ac:dyDescent="0.45">
      <c r="A1" s="1" t="s">
        <v>0</v>
      </c>
      <c r="B1" s="2" t="s">
        <v>1</v>
      </c>
      <c r="C1" s="2" t="s">
        <v>2</v>
      </c>
    </row>
    <row r="2" spans="1:3" x14ac:dyDescent="0.45">
      <c r="A2" s="5">
        <v>22647</v>
      </c>
      <c r="B2">
        <v>0.79</v>
      </c>
      <c r="C2" s="3">
        <f t="shared" ref="C2:C65" si="0">616.4+B2</f>
        <v>617.18999999999994</v>
      </c>
    </row>
    <row r="3" spans="1:3" x14ac:dyDescent="0.45">
      <c r="A3" s="5">
        <v>22678</v>
      </c>
      <c r="B3">
        <v>0.93</v>
      </c>
      <c r="C3" s="3">
        <f t="shared" si="0"/>
        <v>617.32999999999993</v>
      </c>
    </row>
    <row r="4" spans="1:3" x14ac:dyDescent="0.45">
      <c r="A4" s="5">
        <v>22706</v>
      </c>
      <c r="B4">
        <v>1.06</v>
      </c>
      <c r="C4" s="3">
        <f t="shared" si="0"/>
        <v>617.45999999999992</v>
      </c>
    </row>
    <row r="5" spans="1:3" x14ac:dyDescent="0.45">
      <c r="A5" s="5">
        <v>22737</v>
      </c>
      <c r="B5">
        <v>1.19</v>
      </c>
      <c r="C5" s="3">
        <f t="shared" si="0"/>
        <v>617.59</v>
      </c>
    </row>
    <row r="6" spans="1:3" x14ac:dyDescent="0.45">
      <c r="A6" s="5">
        <v>22767</v>
      </c>
      <c r="B6">
        <v>1.33</v>
      </c>
      <c r="C6" s="3">
        <f t="shared" si="0"/>
        <v>617.73</v>
      </c>
    </row>
    <row r="7" spans="1:3" x14ac:dyDescent="0.45">
      <c r="A7" s="5">
        <v>22798</v>
      </c>
      <c r="B7">
        <v>1.46</v>
      </c>
      <c r="C7" s="3">
        <f t="shared" si="0"/>
        <v>617.86</v>
      </c>
    </row>
    <row r="8" spans="1:3" x14ac:dyDescent="0.45">
      <c r="A8" s="5">
        <v>22828</v>
      </c>
      <c r="B8">
        <v>1.59</v>
      </c>
      <c r="C8" s="3">
        <f t="shared" si="0"/>
        <v>617.99</v>
      </c>
    </row>
    <row r="9" spans="1:3" x14ac:dyDescent="0.45">
      <c r="A9" s="5">
        <v>22859</v>
      </c>
      <c r="B9">
        <v>1.73</v>
      </c>
      <c r="C9" s="3">
        <f t="shared" si="0"/>
        <v>618.13</v>
      </c>
    </row>
    <row r="10" spans="1:3" x14ac:dyDescent="0.45">
      <c r="A10" s="5">
        <v>22890</v>
      </c>
      <c r="B10">
        <v>1.86</v>
      </c>
      <c r="C10" s="3">
        <f t="shared" si="0"/>
        <v>618.26</v>
      </c>
    </row>
    <row r="11" spans="1:3" x14ac:dyDescent="0.45">
      <c r="A11" s="5">
        <v>22920</v>
      </c>
      <c r="B11">
        <v>1.99</v>
      </c>
      <c r="C11" s="3">
        <f t="shared" si="0"/>
        <v>618.39</v>
      </c>
    </row>
    <row r="12" spans="1:3" x14ac:dyDescent="0.45">
      <c r="A12" s="5">
        <v>22951</v>
      </c>
      <c r="B12">
        <v>2.13</v>
      </c>
      <c r="C12" s="3">
        <f t="shared" si="0"/>
        <v>618.53</v>
      </c>
    </row>
    <row r="13" spans="1:3" x14ac:dyDescent="0.45">
      <c r="A13" s="5">
        <v>22981</v>
      </c>
      <c r="B13">
        <v>2.2599999999999998</v>
      </c>
      <c r="C13" s="3">
        <f t="shared" si="0"/>
        <v>618.66</v>
      </c>
    </row>
    <row r="14" spans="1:3" x14ac:dyDescent="0.45">
      <c r="A14" s="5">
        <v>23012</v>
      </c>
      <c r="B14">
        <v>2.39</v>
      </c>
      <c r="C14" s="3">
        <f t="shared" si="0"/>
        <v>618.79</v>
      </c>
    </row>
    <row r="15" spans="1:3" x14ac:dyDescent="0.45">
      <c r="A15" s="5">
        <v>23043</v>
      </c>
      <c r="B15">
        <v>2.38</v>
      </c>
      <c r="C15" s="3">
        <f t="shared" si="0"/>
        <v>618.78</v>
      </c>
    </row>
    <row r="16" spans="1:3" x14ac:dyDescent="0.45">
      <c r="A16" s="5">
        <v>23071</v>
      </c>
      <c r="B16">
        <v>2.37</v>
      </c>
      <c r="C16" s="3">
        <f t="shared" si="0"/>
        <v>618.77</v>
      </c>
    </row>
    <row r="17" spans="1:3" x14ac:dyDescent="0.45">
      <c r="A17" s="5">
        <v>23102</v>
      </c>
      <c r="B17">
        <v>2.37</v>
      </c>
      <c r="C17" s="3">
        <f t="shared" si="0"/>
        <v>618.77</v>
      </c>
    </row>
    <row r="18" spans="1:3" x14ac:dyDescent="0.45">
      <c r="A18" s="5">
        <v>23132</v>
      </c>
      <c r="B18">
        <v>2.36</v>
      </c>
      <c r="C18" s="3">
        <f t="shared" si="0"/>
        <v>618.76</v>
      </c>
    </row>
    <row r="19" spans="1:3" x14ac:dyDescent="0.45">
      <c r="A19" s="5">
        <v>23163</v>
      </c>
      <c r="B19">
        <v>2.35</v>
      </c>
      <c r="C19" s="3">
        <f t="shared" si="0"/>
        <v>618.75</v>
      </c>
    </row>
    <row r="20" spans="1:3" x14ac:dyDescent="0.45">
      <c r="A20" s="5">
        <v>23193</v>
      </c>
      <c r="B20">
        <v>2.34</v>
      </c>
      <c r="C20" s="3">
        <f t="shared" si="0"/>
        <v>618.74</v>
      </c>
    </row>
    <row r="21" spans="1:3" x14ac:dyDescent="0.45">
      <c r="A21" s="5">
        <v>23224</v>
      </c>
      <c r="B21">
        <v>2.33</v>
      </c>
      <c r="C21" s="3">
        <f t="shared" si="0"/>
        <v>618.73</v>
      </c>
    </row>
    <row r="22" spans="1:3" x14ac:dyDescent="0.45">
      <c r="A22" s="5">
        <v>23255</v>
      </c>
      <c r="B22">
        <v>2.3199999999999998</v>
      </c>
      <c r="C22" s="3">
        <f t="shared" si="0"/>
        <v>618.72</v>
      </c>
    </row>
    <row r="23" spans="1:3" x14ac:dyDescent="0.45">
      <c r="A23" s="5">
        <v>23285</v>
      </c>
      <c r="B23">
        <v>2.3199999999999998</v>
      </c>
      <c r="C23" s="3">
        <f t="shared" si="0"/>
        <v>618.72</v>
      </c>
    </row>
    <row r="24" spans="1:3" x14ac:dyDescent="0.45">
      <c r="A24" s="5">
        <v>23316</v>
      </c>
      <c r="B24">
        <v>2.31</v>
      </c>
      <c r="C24" s="3">
        <f t="shared" si="0"/>
        <v>618.70999999999992</v>
      </c>
    </row>
    <row r="25" spans="1:3" x14ac:dyDescent="0.45">
      <c r="A25" s="5">
        <v>23346</v>
      </c>
      <c r="B25">
        <v>2.2999999999999998</v>
      </c>
      <c r="C25" s="3">
        <f t="shared" si="0"/>
        <v>618.69999999999993</v>
      </c>
    </row>
    <row r="26" spans="1:3" x14ac:dyDescent="0.45">
      <c r="A26" s="5">
        <v>23377</v>
      </c>
      <c r="B26">
        <v>2.29</v>
      </c>
      <c r="C26" s="3">
        <f t="shared" si="0"/>
        <v>618.68999999999994</v>
      </c>
    </row>
    <row r="27" spans="1:3" x14ac:dyDescent="0.45">
      <c r="A27" s="5">
        <v>23408</v>
      </c>
      <c r="B27">
        <v>2.25</v>
      </c>
      <c r="C27" s="3">
        <f t="shared" si="0"/>
        <v>618.65</v>
      </c>
    </row>
    <row r="28" spans="1:3" x14ac:dyDescent="0.45">
      <c r="A28" s="5">
        <v>23437</v>
      </c>
      <c r="B28">
        <v>2.21</v>
      </c>
      <c r="C28" s="3">
        <f t="shared" si="0"/>
        <v>618.61</v>
      </c>
    </row>
    <row r="29" spans="1:3" x14ac:dyDescent="0.45">
      <c r="A29" s="5">
        <v>23468</v>
      </c>
      <c r="B29">
        <v>2.17</v>
      </c>
      <c r="C29" s="3">
        <f t="shared" si="0"/>
        <v>618.56999999999994</v>
      </c>
    </row>
    <row r="30" spans="1:3" x14ac:dyDescent="0.45">
      <c r="A30" s="5">
        <v>23498</v>
      </c>
      <c r="B30">
        <v>2.12</v>
      </c>
      <c r="C30" s="3">
        <f t="shared" si="0"/>
        <v>618.52</v>
      </c>
    </row>
    <row r="31" spans="1:3" x14ac:dyDescent="0.45">
      <c r="A31" s="5">
        <v>23529</v>
      </c>
      <c r="B31">
        <v>2.08</v>
      </c>
      <c r="C31" s="3">
        <f t="shared" si="0"/>
        <v>618.48</v>
      </c>
    </row>
    <row r="32" spans="1:3" x14ac:dyDescent="0.45">
      <c r="A32" s="5">
        <v>23559</v>
      </c>
      <c r="B32">
        <v>2.04</v>
      </c>
      <c r="C32" s="3">
        <f t="shared" si="0"/>
        <v>618.43999999999994</v>
      </c>
    </row>
    <row r="33" spans="1:3" x14ac:dyDescent="0.45">
      <c r="A33" s="5">
        <v>23590</v>
      </c>
      <c r="B33">
        <v>2</v>
      </c>
      <c r="C33" s="3">
        <f t="shared" si="0"/>
        <v>618.4</v>
      </c>
    </row>
    <row r="34" spans="1:3" x14ac:dyDescent="0.45">
      <c r="A34" s="5">
        <v>23621</v>
      </c>
      <c r="B34">
        <v>1.96</v>
      </c>
      <c r="C34" s="3">
        <f t="shared" si="0"/>
        <v>618.36</v>
      </c>
    </row>
    <row r="35" spans="1:3" x14ac:dyDescent="0.45">
      <c r="A35" s="5">
        <v>23651</v>
      </c>
      <c r="B35">
        <v>1.92</v>
      </c>
      <c r="C35" s="3">
        <f t="shared" si="0"/>
        <v>618.31999999999994</v>
      </c>
    </row>
    <row r="36" spans="1:3" x14ac:dyDescent="0.45">
      <c r="A36" s="5">
        <v>23682</v>
      </c>
      <c r="B36">
        <v>1.87</v>
      </c>
      <c r="C36" s="3">
        <f t="shared" si="0"/>
        <v>618.27</v>
      </c>
    </row>
    <row r="37" spans="1:3" x14ac:dyDescent="0.45">
      <c r="A37" s="5">
        <v>23712</v>
      </c>
      <c r="B37">
        <v>1.83</v>
      </c>
      <c r="C37" s="3">
        <f t="shared" si="0"/>
        <v>618.23</v>
      </c>
    </row>
    <row r="38" spans="1:3" x14ac:dyDescent="0.45">
      <c r="A38" s="5">
        <v>23743</v>
      </c>
      <c r="B38">
        <v>1.79</v>
      </c>
      <c r="C38" s="3">
        <f t="shared" si="0"/>
        <v>618.18999999999994</v>
      </c>
    </row>
    <row r="39" spans="1:3" x14ac:dyDescent="0.45">
      <c r="A39" s="5">
        <v>23774</v>
      </c>
      <c r="B39">
        <v>1.8</v>
      </c>
      <c r="C39" s="3">
        <f t="shared" si="0"/>
        <v>618.19999999999993</v>
      </c>
    </row>
    <row r="40" spans="1:3" x14ac:dyDescent="0.45">
      <c r="A40" s="5">
        <v>23802</v>
      </c>
      <c r="B40">
        <v>1.81</v>
      </c>
      <c r="C40" s="3">
        <f t="shared" si="0"/>
        <v>618.20999999999992</v>
      </c>
    </row>
    <row r="41" spans="1:3" x14ac:dyDescent="0.45">
      <c r="A41" s="5">
        <v>23833</v>
      </c>
      <c r="B41">
        <v>1.82</v>
      </c>
      <c r="C41" s="3">
        <f t="shared" si="0"/>
        <v>618.22</v>
      </c>
    </row>
    <row r="42" spans="1:3" x14ac:dyDescent="0.45">
      <c r="A42" s="5">
        <v>23863</v>
      </c>
      <c r="B42">
        <v>1.82</v>
      </c>
      <c r="C42" s="3">
        <f t="shared" si="0"/>
        <v>618.22</v>
      </c>
    </row>
    <row r="43" spans="1:3" x14ac:dyDescent="0.45">
      <c r="A43" s="5">
        <v>23894</v>
      </c>
      <c r="B43">
        <v>1.83</v>
      </c>
      <c r="C43" s="3">
        <f t="shared" si="0"/>
        <v>618.23</v>
      </c>
    </row>
    <row r="44" spans="1:3" x14ac:dyDescent="0.45">
      <c r="A44" s="5">
        <v>23924</v>
      </c>
      <c r="B44">
        <v>1.84</v>
      </c>
      <c r="C44" s="3">
        <f t="shared" si="0"/>
        <v>618.24</v>
      </c>
    </row>
    <row r="45" spans="1:3" x14ac:dyDescent="0.45">
      <c r="A45" s="5">
        <v>23955</v>
      </c>
      <c r="B45">
        <v>1.85</v>
      </c>
      <c r="C45" s="3">
        <f t="shared" si="0"/>
        <v>618.25</v>
      </c>
    </row>
    <row r="46" spans="1:3" x14ac:dyDescent="0.45">
      <c r="A46" s="5">
        <v>23986</v>
      </c>
      <c r="B46">
        <v>1.86</v>
      </c>
      <c r="C46" s="3">
        <f t="shared" si="0"/>
        <v>618.26</v>
      </c>
    </row>
    <row r="47" spans="1:3" x14ac:dyDescent="0.45">
      <c r="A47" s="5">
        <v>24016</v>
      </c>
      <c r="B47">
        <v>1.86</v>
      </c>
      <c r="C47" s="3">
        <f t="shared" si="0"/>
        <v>618.26</v>
      </c>
    </row>
    <row r="48" spans="1:3" x14ac:dyDescent="0.45">
      <c r="A48" s="5">
        <v>24047</v>
      </c>
      <c r="B48">
        <v>1.87</v>
      </c>
      <c r="C48" s="3">
        <f t="shared" si="0"/>
        <v>618.27</v>
      </c>
    </row>
    <row r="49" spans="1:3" x14ac:dyDescent="0.45">
      <c r="A49" s="5">
        <v>24077</v>
      </c>
      <c r="B49">
        <v>1.88</v>
      </c>
      <c r="C49" s="3">
        <f t="shared" si="0"/>
        <v>618.28</v>
      </c>
    </row>
    <row r="50" spans="1:3" x14ac:dyDescent="0.45">
      <c r="A50" s="5">
        <v>24108</v>
      </c>
      <c r="B50">
        <v>1.89</v>
      </c>
      <c r="C50" s="3">
        <f t="shared" si="0"/>
        <v>618.29</v>
      </c>
    </row>
    <row r="51" spans="1:3" x14ac:dyDescent="0.45">
      <c r="A51" s="5">
        <v>24139</v>
      </c>
      <c r="B51">
        <v>1.79</v>
      </c>
      <c r="C51" s="3">
        <f t="shared" si="0"/>
        <v>618.18999999999994</v>
      </c>
    </row>
    <row r="52" spans="1:3" x14ac:dyDescent="0.45">
      <c r="A52" s="5">
        <v>24167</v>
      </c>
      <c r="B52">
        <v>1.68</v>
      </c>
      <c r="C52" s="3">
        <f t="shared" si="0"/>
        <v>618.07999999999993</v>
      </c>
    </row>
    <row r="53" spans="1:3" x14ac:dyDescent="0.45">
      <c r="A53" s="5">
        <v>24198</v>
      </c>
      <c r="B53">
        <v>1.58</v>
      </c>
      <c r="C53" s="3">
        <f t="shared" si="0"/>
        <v>617.98</v>
      </c>
    </row>
    <row r="54" spans="1:3" x14ac:dyDescent="0.45">
      <c r="A54" s="5">
        <v>24228</v>
      </c>
      <c r="B54">
        <v>1.48</v>
      </c>
      <c r="C54" s="3">
        <f t="shared" si="0"/>
        <v>617.88</v>
      </c>
    </row>
    <row r="55" spans="1:3" x14ac:dyDescent="0.45">
      <c r="A55" s="5">
        <v>24259</v>
      </c>
      <c r="B55">
        <v>1.37</v>
      </c>
      <c r="C55" s="3">
        <f t="shared" si="0"/>
        <v>617.77</v>
      </c>
    </row>
    <row r="56" spans="1:3" x14ac:dyDescent="0.45">
      <c r="A56" s="5">
        <v>24289</v>
      </c>
      <c r="B56">
        <v>1.27</v>
      </c>
      <c r="C56" s="3">
        <f t="shared" si="0"/>
        <v>617.66999999999996</v>
      </c>
    </row>
    <row r="57" spans="1:3" x14ac:dyDescent="0.45">
      <c r="A57" s="5">
        <v>24320</v>
      </c>
      <c r="B57">
        <v>1.17</v>
      </c>
      <c r="C57" s="3">
        <f t="shared" si="0"/>
        <v>617.56999999999994</v>
      </c>
    </row>
    <row r="58" spans="1:3" x14ac:dyDescent="0.45">
      <c r="A58" s="5">
        <v>24351</v>
      </c>
      <c r="B58">
        <v>1.06</v>
      </c>
      <c r="C58" s="3">
        <f t="shared" si="0"/>
        <v>617.45999999999992</v>
      </c>
    </row>
    <row r="59" spans="1:3" x14ac:dyDescent="0.45">
      <c r="A59" s="5">
        <v>24381</v>
      </c>
      <c r="B59">
        <v>0.96</v>
      </c>
      <c r="C59" s="3">
        <f t="shared" si="0"/>
        <v>617.36</v>
      </c>
    </row>
    <row r="60" spans="1:3" x14ac:dyDescent="0.45">
      <c r="A60" s="5">
        <v>24412</v>
      </c>
      <c r="B60">
        <v>0.86</v>
      </c>
      <c r="C60" s="3">
        <f t="shared" si="0"/>
        <v>617.26</v>
      </c>
    </row>
    <row r="61" spans="1:3" x14ac:dyDescent="0.45">
      <c r="A61" s="5">
        <v>24442</v>
      </c>
      <c r="B61">
        <v>0.76</v>
      </c>
      <c r="C61" s="3">
        <f t="shared" si="0"/>
        <v>617.16</v>
      </c>
    </row>
    <row r="62" spans="1:3" x14ac:dyDescent="0.45">
      <c r="A62" s="5">
        <v>24473</v>
      </c>
      <c r="B62">
        <v>0.65</v>
      </c>
      <c r="C62" s="3">
        <f t="shared" si="0"/>
        <v>617.04999999999995</v>
      </c>
    </row>
    <row r="63" spans="1:3" x14ac:dyDescent="0.45">
      <c r="A63" s="5">
        <v>24504</v>
      </c>
      <c r="B63">
        <v>0.6</v>
      </c>
      <c r="C63" s="3">
        <f t="shared" si="0"/>
        <v>617</v>
      </c>
    </row>
    <row r="64" spans="1:3" x14ac:dyDescent="0.45">
      <c r="A64" s="5">
        <v>24532</v>
      </c>
      <c r="B64">
        <v>0.54</v>
      </c>
      <c r="C64" s="3">
        <f t="shared" si="0"/>
        <v>616.93999999999994</v>
      </c>
    </row>
    <row r="65" spans="1:3" x14ac:dyDescent="0.45">
      <c r="A65" s="5">
        <v>24563</v>
      </c>
      <c r="B65">
        <v>0.49</v>
      </c>
      <c r="C65" s="3">
        <f t="shared" si="0"/>
        <v>616.89</v>
      </c>
    </row>
    <row r="66" spans="1:3" x14ac:dyDescent="0.45">
      <c r="A66" s="5">
        <v>24593</v>
      </c>
      <c r="B66">
        <v>0.44</v>
      </c>
      <c r="C66" s="3">
        <f t="shared" ref="C66:C129" si="1">616.4+B66</f>
        <v>616.84</v>
      </c>
    </row>
    <row r="67" spans="1:3" x14ac:dyDescent="0.45">
      <c r="A67" s="5">
        <v>24624</v>
      </c>
      <c r="B67">
        <v>0.38</v>
      </c>
      <c r="C67" s="3">
        <f t="shared" si="1"/>
        <v>616.78</v>
      </c>
    </row>
    <row r="68" spans="1:3" x14ac:dyDescent="0.45">
      <c r="A68" s="5">
        <v>24654</v>
      </c>
      <c r="B68">
        <v>0.33</v>
      </c>
      <c r="C68" s="3">
        <f t="shared" si="1"/>
        <v>616.73</v>
      </c>
    </row>
    <row r="69" spans="1:3" x14ac:dyDescent="0.45">
      <c r="A69" s="5">
        <v>24685</v>
      </c>
      <c r="B69">
        <v>0.27</v>
      </c>
      <c r="C69" s="3">
        <f t="shared" si="1"/>
        <v>616.66999999999996</v>
      </c>
    </row>
    <row r="70" spans="1:3" x14ac:dyDescent="0.45">
      <c r="A70" s="5">
        <v>24716</v>
      </c>
      <c r="B70">
        <v>0.22</v>
      </c>
      <c r="C70" s="3">
        <f t="shared" si="1"/>
        <v>616.62</v>
      </c>
    </row>
    <row r="71" spans="1:3" x14ac:dyDescent="0.45">
      <c r="A71" s="5">
        <v>24746</v>
      </c>
      <c r="B71">
        <v>0.16</v>
      </c>
      <c r="C71" s="3">
        <f t="shared" si="1"/>
        <v>616.55999999999995</v>
      </c>
    </row>
    <row r="72" spans="1:3" x14ac:dyDescent="0.45">
      <c r="A72" s="5">
        <v>24777</v>
      </c>
      <c r="B72">
        <v>0.11</v>
      </c>
      <c r="C72" s="3">
        <f t="shared" si="1"/>
        <v>616.51</v>
      </c>
    </row>
    <row r="73" spans="1:3" x14ac:dyDescent="0.45">
      <c r="A73" s="5">
        <v>24807</v>
      </c>
      <c r="B73">
        <v>0.05</v>
      </c>
      <c r="C73" s="3">
        <f t="shared" si="1"/>
        <v>616.44999999999993</v>
      </c>
    </row>
    <row r="74" spans="1:3" x14ac:dyDescent="0.45">
      <c r="A74" s="5">
        <v>24838</v>
      </c>
      <c r="B74">
        <v>0</v>
      </c>
      <c r="C74" s="3">
        <f t="shared" si="1"/>
        <v>616.4</v>
      </c>
    </row>
    <row r="75" spans="1:3" x14ac:dyDescent="0.45">
      <c r="A75" s="5">
        <v>24869</v>
      </c>
      <c r="B75">
        <v>0.13</v>
      </c>
      <c r="C75" s="3">
        <f t="shared" si="1"/>
        <v>616.53</v>
      </c>
    </row>
    <row r="76" spans="1:3" x14ac:dyDescent="0.45">
      <c r="A76" s="5">
        <v>24898</v>
      </c>
      <c r="B76">
        <v>0.27</v>
      </c>
      <c r="C76" s="3">
        <f t="shared" si="1"/>
        <v>616.66999999999996</v>
      </c>
    </row>
    <row r="77" spans="1:3" x14ac:dyDescent="0.45">
      <c r="A77" s="5">
        <v>24929</v>
      </c>
      <c r="B77">
        <v>0.4</v>
      </c>
      <c r="C77" s="3">
        <f t="shared" si="1"/>
        <v>616.79999999999995</v>
      </c>
    </row>
    <row r="78" spans="1:3" x14ac:dyDescent="0.45">
      <c r="A78" s="5">
        <v>24959</v>
      </c>
      <c r="B78">
        <v>0.53</v>
      </c>
      <c r="C78" s="3">
        <f t="shared" si="1"/>
        <v>616.92999999999995</v>
      </c>
    </row>
    <row r="79" spans="1:3" x14ac:dyDescent="0.45">
      <c r="A79" s="5">
        <v>24990</v>
      </c>
      <c r="B79">
        <v>0.66</v>
      </c>
      <c r="C79" s="3">
        <f t="shared" si="1"/>
        <v>617.05999999999995</v>
      </c>
    </row>
    <row r="80" spans="1:3" x14ac:dyDescent="0.45">
      <c r="A80" s="5">
        <v>25020</v>
      </c>
      <c r="B80">
        <v>0.8</v>
      </c>
      <c r="C80" s="3">
        <f t="shared" si="1"/>
        <v>617.19999999999993</v>
      </c>
    </row>
    <row r="81" spans="1:3" x14ac:dyDescent="0.45">
      <c r="A81" s="5">
        <v>25051</v>
      </c>
      <c r="B81">
        <v>0.93</v>
      </c>
      <c r="C81" s="3">
        <f t="shared" si="1"/>
        <v>617.32999999999993</v>
      </c>
    </row>
    <row r="82" spans="1:3" x14ac:dyDescent="0.45">
      <c r="A82" s="5">
        <v>25082</v>
      </c>
      <c r="B82">
        <v>1.06</v>
      </c>
      <c r="C82" s="3">
        <f t="shared" si="1"/>
        <v>617.45999999999992</v>
      </c>
    </row>
    <row r="83" spans="1:3" x14ac:dyDescent="0.45">
      <c r="A83" s="5">
        <v>25112</v>
      </c>
      <c r="B83">
        <v>1.19</v>
      </c>
      <c r="C83" s="3">
        <f t="shared" si="1"/>
        <v>617.59</v>
      </c>
    </row>
    <row r="84" spans="1:3" x14ac:dyDescent="0.45">
      <c r="A84" s="5">
        <v>25143</v>
      </c>
      <c r="B84">
        <v>1.33</v>
      </c>
      <c r="C84" s="3">
        <f t="shared" si="1"/>
        <v>617.73</v>
      </c>
    </row>
    <row r="85" spans="1:3" x14ac:dyDescent="0.45">
      <c r="A85" s="5">
        <v>25173</v>
      </c>
      <c r="B85">
        <v>1.46</v>
      </c>
      <c r="C85" s="3">
        <f t="shared" si="1"/>
        <v>617.86</v>
      </c>
    </row>
    <row r="86" spans="1:3" x14ac:dyDescent="0.45">
      <c r="A86" s="5">
        <v>25204</v>
      </c>
      <c r="B86">
        <v>1.59</v>
      </c>
      <c r="C86" s="3">
        <f t="shared" si="1"/>
        <v>617.99</v>
      </c>
    </row>
    <row r="87" spans="1:3" x14ac:dyDescent="0.45">
      <c r="A87" s="5">
        <v>25235</v>
      </c>
      <c r="B87">
        <v>1.61</v>
      </c>
      <c r="C87" s="3">
        <f t="shared" si="1"/>
        <v>618.01</v>
      </c>
    </row>
    <row r="88" spans="1:3" x14ac:dyDescent="0.45">
      <c r="A88" s="5">
        <v>25263</v>
      </c>
      <c r="B88">
        <v>1.62</v>
      </c>
      <c r="C88" s="3">
        <f t="shared" si="1"/>
        <v>618.02</v>
      </c>
    </row>
    <row r="89" spans="1:3" x14ac:dyDescent="0.45">
      <c r="A89" s="5">
        <v>25294</v>
      </c>
      <c r="B89">
        <v>1.64</v>
      </c>
      <c r="C89" s="3">
        <f t="shared" si="1"/>
        <v>618.04</v>
      </c>
    </row>
    <row r="90" spans="1:3" x14ac:dyDescent="0.45">
      <c r="A90" s="5">
        <v>25324</v>
      </c>
      <c r="B90">
        <v>1.66</v>
      </c>
      <c r="C90" s="3">
        <f t="shared" si="1"/>
        <v>618.05999999999995</v>
      </c>
    </row>
    <row r="91" spans="1:3" x14ac:dyDescent="0.45">
      <c r="A91" s="5">
        <v>25355</v>
      </c>
      <c r="B91">
        <v>1.67</v>
      </c>
      <c r="C91" s="3">
        <f t="shared" si="1"/>
        <v>618.06999999999994</v>
      </c>
    </row>
    <row r="92" spans="1:3" x14ac:dyDescent="0.45">
      <c r="A92" s="5">
        <v>25385</v>
      </c>
      <c r="B92">
        <v>1.69</v>
      </c>
      <c r="C92" s="3">
        <f t="shared" si="1"/>
        <v>618.09</v>
      </c>
    </row>
    <row r="93" spans="1:3" x14ac:dyDescent="0.45">
      <c r="A93" s="5">
        <v>25416</v>
      </c>
      <c r="B93">
        <v>1.71</v>
      </c>
      <c r="C93" s="3">
        <f t="shared" si="1"/>
        <v>618.11</v>
      </c>
    </row>
    <row r="94" spans="1:3" x14ac:dyDescent="0.45">
      <c r="A94" s="5">
        <v>25447</v>
      </c>
      <c r="B94">
        <v>1.72</v>
      </c>
      <c r="C94" s="3">
        <f t="shared" si="1"/>
        <v>618.12</v>
      </c>
    </row>
    <row r="95" spans="1:3" x14ac:dyDescent="0.45">
      <c r="A95" s="5">
        <v>25477</v>
      </c>
      <c r="B95">
        <v>1.74</v>
      </c>
      <c r="C95" s="3">
        <f t="shared" si="1"/>
        <v>618.14</v>
      </c>
    </row>
    <row r="96" spans="1:3" x14ac:dyDescent="0.45">
      <c r="A96" s="5">
        <v>25508</v>
      </c>
      <c r="B96">
        <v>1.76</v>
      </c>
      <c r="C96" s="3">
        <f t="shared" si="1"/>
        <v>618.16</v>
      </c>
    </row>
    <row r="97" spans="1:3" x14ac:dyDescent="0.45">
      <c r="A97" s="5">
        <v>25538</v>
      </c>
      <c r="B97">
        <v>1.77</v>
      </c>
      <c r="C97" s="3">
        <f t="shared" si="1"/>
        <v>618.16999999999996</v>
      </c>
    </row>
    <row r="98" spans="1:3" x14ac:dyDescent="0.45">
      <c r="A98" s="5">
        <v>25569</v>
      </c>
      <c r="B98">
        <v>1.79</v>
      </c>
      <c r="C98" s="3">
        <f t="shared" si="1"/>
        <v>618.18999999999994</v>
      </c>
    </row>
    <row r="99" spans="1:3" x14ac:dyDescent="0.45">
      <c r="A99" s="5">
        <v>25600</v>
      </c>
      <c r="B99">
        <v>1.84</v>
      </c>
      <c r="C99" s="3">
        <f t="shared" si="1"/>
        <v>618.24</v>
      </c>
    </row>
    <row r="100" spans="1:3" x14ac:dyDescent="0.45">
      <c r="A100" s="5">
        <v>25628</v>
      </c>
      <c r="B100">
        <v>1.89</v>
      </c>
      <c r="C100" s="3">
        <f t="shared" si="1"/>
        <v>618.29</v>
      </c>
    </row>
    <row r="101" spans="1:3" x14ac:dyDescent="0.45">
      <c r="A101" s="5">
        <v>25659</v>
      </c>
      <c r="B101">
        <v>1.94</v>
      </c>
      <c r="C101" s="3">
        <f t="shared" si="1"/>
        <v>618.34</v>
      </c>
    </row>
    <row r="102" spans="1:3" x14ac:dyDescent="0.45">
      <c r="A102" s="5">
        <v>25689</v>
      </c>
      <c r="B102">
        <v>1.99</v>
      </c>
      <c r="C102" s="3">
        <f t="shared" si="1"/>
        <v>618.39</v>
      </c>
    </row>
    <row r="103" spans="1:3" x14ac:dyDescent="0.45">
      <c r="A103" s="5">
        <v>25720</v>
      </c>
      <c r="B103">
        <v>2.04</v>
      </c>
      <c r="C103" s="3">
        <f t="shared" si="1"/>
        <v>618.43999999999994</v>
      </c>
    </row>
    <row r="104" spans="1:3" x14ac:dyDescent="0.45">
      <c r="A104" s="5">
        <v>25750</v>
      </c>
      <c r="B104">
        <v>2.09</v>
      </c>
      <c r="C104" s="3">
        <f t="shared" si="1"/>
        <v>618.49</v>
      </c>
    </row>
    <row r="105" spans="1:3" x14ac:dyDescent="0.45">
      <c r="A105" s="5">
        <v>25781</v>
      </c>
      <c r="B105">
        <v>2.14</v>
      </c>
      <c r="C105" s="3">
        <f t="shared" si="1"/>
        <v>618.54</v>
      </c>
    </row>
    <row r="106" spans="1:3" x14ac:dyDescent="0.45">
      <c r="A106" s="5">
        <v>25812</v>
      </c>
      <c r="B106">
        <v>2.19</v>
      </c>
      <c r="C106" s="3">
        <f t="shared" si="1"/>
        <v>618.59</v>
      </c>
    </row>
    <row r="107" spans="1:3" x14ac:dyDescent="0.45">
      <c r="A107" s="5">
        <v>25842</v>
      </c>
      <c r="B107">
        <v>2.2400000000000002</v>
      </c>
      <c r="C107" s="3">
        <f t="shared" si="1"/>
        <v>618.64</v>
      </c>
    </row>
    <row r="108" spans="1:3" x14ac:dyDescent="0.45">
      <c r="A108" s="5">
        <v>25873</v>
      </c>
      <c r="B108">
        <v>2.29</v>
      </c>
      <c r="C108" s="3">
        <f t="shared" si="1"/>
        <v>618.68999999999994</v>
      </c>
    </row>
    <row r="109" spans="1:3" x14ac:dyDescent="0.45">
      <c r="A109" s="5">
        <v>25903</v>
      </c>
      <c r="B109">
        <v>2.34</v>
      </c>
      <c r="C109" s="3">
        <f t="shared" si="1"/>
        <v>618.74</v>
      </c>
    </row>
    <row r="110" spans="1:3" x14ac:dyDescent="0.45">
      <c r="A110" s="5">
        <v>25934</v>
      </c>
      <c r="B110">
        <v>2.39</v>
      </c>
      <c r="C110" s="3">
        <f t="shared" si="1"/>
        <v>618.79</v>
      </c>
    </row>
    <row r="111" spans="1:3" x14ac:dyDescent="0.45">
      <c r="A111" s="5">
        <v>25965</v>
      </c>
      <c r="B111">
        <v>2.3199999999999998</v>
      </c>
      <c r="C111" s="3">
        <f t="shared" si="1"/>
        <v>618.72</v>
      </c>
    </row>
    <row r="112" spans="1:3" x14ac:dyDescent="0.45">
      <c r="A112" s="5">
        <v>25993</v>
      </c>
      <c r="B112">
        <v>2.2599999999999998</v>
      </c>
      <c r="C112" s="3">
        <f t="shared" si="1"/>
        <v>618.66</v>
      </c>
    </row>
    <row r="113" spans="1:3" x14ac:dyDescent="0.45">
      <c r="A113" s="5">
        <v>26024</v>
      </c>
      <c r="B113">
        <v>2.19</v>
      </c>
      <c r="C113" s="3">
        <f t="shared" si="1"/>
        <v>618.59</v>
      </c>
    </row>
    <row r="114" spans="1:3" x14ac:dyDescent="0.45">
      <c r="A114" s="5">
        <v>26054</v>
      </c>
      <c r="B114">
        <v>2.12</v>
      </c>
      <c r="C114" s="3">
        <f t="shared" si="1"/>
        <v>618.52</v>
      </c>
    </row>
    <row r="115" spans="1:3" x14ac:dyDescent="0.45">
      <c r="A115" s="5">
        <v>26085</v>
      </c>
      <c r="B115">
        <v>2.06</v>
      </c>
      <c r="C115" s="3">
        <f t="shared" si="1"/>
        <v>618.45999999999992</v>
      </c>
    </row>
    <row r="116" spans="1:3" x14ac:dyDescent="0.45">
      <c r="A116" s="5">
        <v>26115</v>
      </c>
      <c r="B116">
        <v>1.99</v>
      </c>
      <c r="C116" s="3">
        <f t="shared" si="1"/>
        <v>618.39</v>
      </c>
    </row>
    <row r="117" spans="1:3" x14ac:dyDescent="0.45">
      <c r="A117" s="5">
        <v>26146</v>
      </c>
      <c r="B117">
        <v>1.92</v>
      </c>
      <c r="C117" s="3">
        <f t="shared" si="1"/>
        <v>618.31999999999994</v>
      </c>
    </row>
    <row r="118" spans="1:3" x14ac:dyDescent="0.45">
      <c r="A118" s="5">
        <v>26177</v>
      </c>
      <c r="B118">
        <v>1.86</v>
      </c>
      <c r="C118" s="3">
        <f t="shared" si="1"/>
        <v>618.26</v>
      </c>
    </row>
    <row r="119" spans="1:3" x14ac:dyDescent="0.45">
      <c r="A119" s="5">
        <v>26207</v>
      </c>
      <c r="B119">
        <v>1.79</v>
      </c>
      <c r="C119" s="3">
        <f t="shared" si="1"/>
        <v>618.18999999999994</v>
      </c>
    </row>
    <row r="120" spans="1:3" x14ac:dyDescent="0.45">
      <c r="A120" s="5">
        <v>26238</v>
      </c>
      <c r="B120">
        <v>1.73</v>
      </c>
      <c r="C120" s="3">
        <f t="shared" si="1"/>
        <v>618.13</v>
      </c>
    </row>
    <row r="121" spans="1:3" x14ac:dyDescent="0.45">
      <c r="A121" s="5">
        <v>26268</v>
      </c>
      <c r="B121">
        <v>1.66</v>
      </c>
      <c r="C121" s="3">
        <f t="shared" si="1"/>
        <v>618.05999999999995</v>
      </c>
    </row>
    <row r="122" spans="1:3" x14ac:dyDescent="0.45">
      <c r="A122" s="5">
        <v>26299</v>
      </c>
      <c r="B122">
        <v>1.59</v>
      </c>
      <c r="C122" s="3">
        <f t="shared" si="1"/>
        <v>617.99</v>
      </c>
    </row>
    <row r="123" spans="1:3" x14ac:dyDescent="0.45">
      <c r="A123" s="5">
        <v>26330</v>
      </c>
      <c r="B123">
        <v>1.47</v>
      </c>
      <c r="C123" s="3">
        <f t="shared" si="1"/>
        <v>617.87</v>
      </c>
    </row>
    <row r="124" spans="1:3" x14ac:dyDescent="0.45">
      <c r="A124" s="5">
        <v>26359</v>
      </c>
      <c r="B124">
        <v>1.35</v>
      </c>
      <c r="C124" s="3">
        <f t="shared" si="1"/>
        <v>617.75</v>
      </c>
    </row>
    <row r="125" spans="1:3" x14ac:dyDescent="0.45">
      <c r="A125" s="5">
        <v>26390</v>
      </c>
      <c r="B125">
        <v>1.22</v>
      </c>
      <c r="C125" s="3">
        <f t="shared" si="1"/>
        <v>617.62</v>
      </c>
    </row>
    <row r="126" spans="1:3" x14ac:dyDescent="0.45">
      <c r="A126" s="5">
        <v>26420</v>
      </c>
      <c r="B126">
        <v>1.1000000000000001</v>
      </c>
      <c r="C126" s="3">
        <f t="shared" si="1"/>
        <v>617.5</v>
      </c>
    </row>
    <row r="127" spans="1:3" x14ac:dyDescent="0.45">
      <c r="A127" s="5">
        <v>26451</v>
      </c>
      <c r="B127">
        <v>0.97</v>
      </c>
      <c r="C127" s="3">
        <f t="shared" si="1"/>
        <v>617.37</v>
      </c>
    </row>
    <row r="128" spans="1:3" x14ac:dyDescent="0.45">
      <c r="A128" s="5">
        <v>26481</v>
      </c>
      <c r="B128">
        <v>0.85</v>
      </c>
      <c r="C128" s="3">
        <f t="shared" si="1"/>
        <v>617.25</v>
      </c>
    </row>
    <row r="129" spans="1:3" x14ac:dyDescent="0.45">
      <c r="A129" s="5">
        <v>26512</v>
      </c>
      <c r="B129">
        <v>0.72</v>
      </c>
      <c r="C129" s="3">
        <f t="shared" si="1"/>
        <v>617.12</v>
      </c>
    </row>
    <row r="130" spans="1:3" x14ac:dyDescent="0.45">
      <c r="A130" s="5">
        <v>26543</v>
      </c>
      <c r="B130">
        <v>0.6</v>
      </c>
      <c r="C130" s="3">
        <f t="shared" ref="C130:C193" si="2">616.4+B130</f>
        <v>617</v>
      </c>
    </row>
    <row r="131" spans="1:3" x14ac:dyDescent="0.45">
      <c r="A131" s="5">
        <v>26573</v>
      </c>
      <c r="B131">
        <v>0.47</v>
      </c>
      <c r="C131" s="3">
        <f t="shared" si="2"/>
        <v>616.87</v>
      </c>
    </row>
    <row r="132" spans="1:3" x14ac:dyDescent="0.45">
      <c r="A132" s="5">
        <v>26604</v>
      </c>
      <c r="B132">
        <v>0.35</v>
      </c>
      <c r="C132" s="3">
        <f t="shared" si="2"/>
        <v>616.75</v>
      </c>
    </row>
    <row r="133" spans="1:3" x14ac:dyDescent="0.45">
      <c r="A133" s="5">
        <v>26634</v>
      </c>
      <c r="B133">
        <v>0.23</v>
      </c>
      <c r="C133" s="3">
        <f t="shared" si="2"/>
        <v>616.63</v>
      </c>
    </row>
    <row r="134" spans="1:3" x14ac:dyDescent="0.45">
      <c r="A134" s="5">
        <v>26665</v>
      </c>
      <c r="B134">
        <v>0.1</v>
      </c>
      <c r="C134" s="3">
        <f t="shared" si="2"/>
        <v>616.5</v>
      </c>
    </row>
    <row r="135" spans="1:3" x14ac:dyDescent="0.45">
      <c r="A135" s="5">
        <v>26696</v>
      </c>
      <c r="B135">
        <v>0.33</v>
      </c>
      <c r="C135" s="3">
        <f t="shared" si="2"/>
        <v>616.73</v>
      </c>
    </row>
    <row r="136" spans="1:3" x14ac:dyDescent="0.45">
      <c r="A136" s="5">
        <v>26724</v>
      </c>
      <c r="B136">
        <v>0.55000000000000004</v>
      </c>
      <c r="C136" s="3">
        <f t="shared" si="2"/>
        <v>616.94999999999993</v>
      </c>
    </row>
    <row r="137" spans="1:3" x14ac:dyDescent="0.45">
      <c r="A137" s="5">
        <v>26755</v>
      </c>
      <c r="B137">
        <v>0.77</v>
      </c>
      <c r="C137" s="3">
        <f t="shared" si="2"/>
        <v>617.16999999999996</v>
      </c>
    </row>
    <row r="138" spans="1:3" x14ac:dyDescent="0.45">
      <c r="A138" s="5">
        <v>26785</v>
      </c>
      <c r="B138">
        <v>1</v>
      </c>
      <c r="C138" s="3">
        <f t="shared" si="2"/>
        <v>617.4</v>
      </c>
    </row>
    <row r="139" spans="1:3" x14ac:dyDescent="0.45">
      <c r="A139" s="5">
        <v>26816</v>
      </c>
      <c r="B139">
        <v>1.22</v>
      </c>
      <c r="C139" s="3">
        <f t="shared" si="2"/>
        <v>617.62</v>
      </c>
    </row>
    <row r="140" spans="1:3" x14ac:dyDescent="0.45">
      <c r="A140" s="5">
        <v>26846</v>
      </c>
      <c r="B140">
        <v>1.44</v>
      </c>
      <c r="C140" s="3">
        <f t="shared" si="2"/>
        <v>617.84</v>
      </c>
    </row>
    <row r="141" spans="1:3" x14ac:dyDescent="0.45">
      <c r="A141" s="5">
        <v>26877</v>
      </c>
      <c r="B141">
        <v>1.67</v>
      </c>
      <c r="C141" s="3">
        <f t="shared" si="2"/>
        <v>618.06999999999994</v>
      </c>
    </row>
    <row r="142" spans="1:3" x14ac:dyDescent="0.45">
      <c r="A142" s="5">
        <v>26908</v>
      </c>
      <c r="B142">
        <v>1.89</v>
      </c>
      <c r="C142" s="3">
        <f t="shared" si="2"/>
        <v>618.29</v>
      </c>
    </row>
    <row r="143" spans="1:3" x14ac:dyDescent="0.45">
      <c r="A143" s="5">
        <v>26938</v>
      </c>
      <c r="B143">
        <v>2.11</v>
      </c>
      <c r="C143" s="3">
        <f t="shared" si="2"/>
        <v>618.51</v>
      </c>
    </row>
    <row r="144" spans="1:3" x14ac:dyDescent="0.45">
      <c r="A144" s="5">
        <v>26969</v>
      </c>
      <c r="B144">
        <v>2.34</v>
      </c>
      <c r="C144" s="3">
        <f t="shared" si="2"/>
        <v>618.74</v>
      </c>
    </row>
    <row r="145" spans="1:3" x14ac:dyDescent="0.45">
      <c r="A145" s="5">
        <v>26999</v>
      </c>
      <c r="B145">
        <v>2.56</v>
      </c>
      <c r="C145" s="3">
        <f t="shared" si="2"/>
        <v>618.95999999999992</v>
      </c>
    </row>
    <row r="146" spans="1:3" x14ac:dyDescent="0.45">
      <c r="A146" s="5">
        <v>27030</v>
      </c>
      <c r="B146">
        <v>2.79</v>
      </c>
      <c r="C146" s="3">
        <f t="shared" si="2"/>
        <v>619.18999999999994</v>
      </c>
    </row>
    <row r="147" spans="1:3" x14ac:dyDescent="0.45">
      <c r="A147" s="5">
        <v>27061</v>
      </c>
      <c r="B147">
        <v>2.75</v>
      </c>
      <c r="C147" s="3">
        <f t="shared" si="2"/>
        <v>619.15</v>
      </c>
    </row>
    <row r="148" spans="1:3" x14ac:dyDescent="0.45">
      <c r="A148" s="5">
        <v>27089</v>
      </c>
      <c r="B148">
        <v>2.72</v>
      </c>
      <c r="C148" s="3">
        <f t="shared" si="2"/>
        <v>619.12</v>
      </c>
    </row>
    <row r="149" spans="1:3" x14ac:dyDescent="0.45">
      <c r="A149" s="5">
        <v>27120</v>
      </c>
      <c r="B149">
        <v>2.69</v>
      </c>
      <c r="C149" s="3">
        <f t="shared" si="2"/>
        <v>619.09</v>
      </c>
    </row>
    <row r="150" spans="1:3" x14ac:dyDescent="0.45">
      <c r="A150" s="5">
        <v>27150</v>
      </c>
      <c r="B150">
        <v>2.66</v>
      </c>
      <c r="C150" s="3">
        <f t="shared" si="2"/>
        <v>619.05999999999995</v>
      </c>
    </row>
    <row r="151" spans="1:3" x14ac:dyDescent="0.45">
      <c r="A151" s="5">
        <v>27181</v>
      </c>
      <c r="B151">
        <v>2.62</v>
      </c>
      <c r="C151" s="3">
        <f t="shared" si="2"/>
        <v>619.02</v>
      </c>
    </row>
    <row r="152" spans="1:3" x14ac:dyDescent="0.45">
      <c r="A152" s="5">
        <v>27211</v>
      </c>
      <c r="B152">
        <v>2.59</v>
      </c>
      <c r="C152" s="3">
        <f t="shared" si="2"/>
        <v>618.99</v>
      </c>
    </row>
    <row r="153" spans="1:3" x14ac:dyDescent="0.45">
      <c r="A153" s="5">
        <v>27242</v>
      </c>
      <c r="B153">
        <v>2.56</v>
      </c>
      <c r="C153" s="3">
        <f t="shared" si="2"/>
        <v>618.95999999999992</v>
      </c>
    </row>
    <row r="154" spans="1:3" x14ac:dyDescent="0.45">
      <c r="A154" s="5">
        <v>27273</v>
      </c>
      <c r="B154">
        <v>2.5299999999999998</v>
      </c>
      <c r="C154" s="3">
        <f t="shared" si="2"/>
        <v>618.92999999999995</v>
      </c>
    </row>
    <row r="155" spans="1:3" x14ac:dyDescent="0.45">
      <c r="A155" s="5">
        <v>27303</v>
      </c>
      <c r="B155">
        <v>2.5</v>
      </c>
      <c r="C155" s="3">
        <f t="shared" si="2"/>
        <v>618.9</v>
      </c>
    </row>
    <row r="156" spans="1:3" x14ac:dyDescent="0.45">
      <c r="A156" s="5">
        <v>27334</v>
      </c>
      <c r="B156">
        <v>2.46</v>
      </c>
      <c r="C156" s="3">
        <f t="shared" si="2"/>
        <v>618.86</v>
      </c>
    </row>
    <row r="157" spans="1:3" x14ac:dyDescent="0.45">
      <c r="A157" s="5">
        <v>27364</v>
      </c>
      <c r="B157">
        <v>2.4300000000000002</v>
      </c>
      <c r="C157" s="3">
        <f t="shared" si="2"/>
        <v>618.82999999999993</v>
      </c>
    </row>
    <row r="158" spans="1:3" x14ac:dyDescent="0.45">
      <c r="A158" s="5">
        <v>27395</v>
      </c>
      <c r="B158">
        <v>2.4</v>
      </c>
      <c r="C158" s="3">
        <f t="shared" si="2"/>
        <v>618.79999999999995</v>
      </c>
    </row>
    <row r="159" spans="1:3" x14ac:dyDescent="0.45">
      <c r="A159" s="5">
        <v>27426</v>
      </c>
      <c r="B159">
        <v>2.44</v>
      </c>
      <c r="C159" s="3">
        <f t="shared" si="2"/>
        <v>618.84</v>
      </c>
    </row>
    <row r="160" spans="1:3" x14ac:dyDescent="0.45">
      <c r="A160" s="5">
        <v>27454</v>
      </c>
      <c r="B160">
        <v>2.4700000000000002</v>
      </c>
      <c r="C160" s="3">
        <f t="shared" si="2"/>
        <v>618.87</v>
      </c>
    </row>
    <row r="161" spans="1:3" x14ac:dyDescent="0.45">
      <c r="A161" s="5">
        <v>27485</v>
      </c>
      <c r="B161">
        <v>2.5099999999999998</v>
      </c>
      <c r="C161" s="3">
        <f t="shared" si="2"/>
        <v>618.91</v>
      </c>
    </row>
    <row r="162" spans="1:3" x14ac:dyDescent="0.45">
      <c r="A162" s="5">
        <v>27515</v>
      </c>
      <c r="B162">
        <v>2.5499999999999998</v>
      </c>
      <c r="C162" s="3">
        <f t="shared" si="2"/>
        <v>618.94999999999993</v>
      </c>
    </row>
    <row r="163" spans="1:3" x14ac:dyDescent="0.45">
      <c r="A163" s="5">
        <v>27546</v>
      </c>
      <c r="B163">
        <v>2.58</v>
      </c>
      <c r="C163" s="3">
        <f t="shared" si="2"/>
        <v>618.98</v>
      </c>
    </row>
    <row r="164" spans="1:3" x14ac:dyDescent="0.45">
      <c r="A164" s="5">
        <v>27576</v>
      </c>
      <c r="B164">
        <v>2.62</v>
      </c>
      <c r="C164" s="3">
        <f t="shared" si="2"/>
        <v>619.02</v>
      </c>
    </row>
    <row r="165" spans="1:3" x14ac:dyDescent="0.45">
      <c r="A165" s="5">
        <v>27607</v>
      </c>
      <c r="B165">
        <v>2.66</v>
      </c>
      <c r="C165" s="3">
        <f t="shared" si="2"/>
        <v>619.05999999999995</v>
      </c>
    </row>
    <row r="166" spans="1:3" x14ac:dyDescent="0.45">
      <c r="A166" s="5">
        <v>27638</v>
      </c>
      <c r="B166">
        <v>2.69</v>
      </c>
      <c r="C166" s="3">
        <f t="shared" si="2"/>
        <v>619.09</v>
      </c>
    </row>
    <row r="167" spans="1:3" x14ac:dyDescent="0.45">
      <c r="A167" s="5">
        <v>27668</v>
      </c>
      <c r="B167">
        <v>2.73</v>
      </c>
      <c r="C167" s="3">
        <f t="shared" si="2"/>
        <v>619.13</v>
      </c>
    </row>
    <row r="168" spans="1:3" x14ac:dyDescent="0.45">
      <c r="A168" s="5">
        <v>27699</v>
      </c>
      <c r="B168">
        <v>2.77</v>
      </c>
      <c r="C168" s="3">
        <f t="shared" si="2"/>
        <v>619.16999999999996</v>
      </c>
    </row>
    <row r="169" spans="1:3" x14ac:dyDescent="0.45">
      <c r="A169" s="5">
        <v>27729</v>
      </c>
      <c r="B169">
        <v>2.81</v>
      </c>
      <c r="C169" s="3">
        <f t="shared" si="2"/>
        <v>619.20999999999992</v>
      </c>
    </row>
    <row r="170" spans="1:3" x14ac:dyDescent="0.45">
      <c r="A170" s="5">
        <v>27760</v>
      </c>
      <c r="B170">
        <v>2.84</v>
      </c>
      <c r="C170" s="3">
        <f t="shared" si="2"/>
        <v>619.24</v>
      </c>
    </row>
    <row r="171" spans="1:3" x14ac:dyDescent="0.45">
      <c r="A171" s="5">
        <v>27791</v>
      </c>
      <c r="B171">
        <v>2.75</v>
      </c>
      <c r="C171" s="3">
        <f t="shared" si="2"/>
        <v>619.15</v>
      </c>
    </row>
    <row r="172" spans="1:3" x14ac:dyDescent="0.45">
      <c r="A172" s="5">
        <v>27820</v>
      </c>
      <c r="B172">
        <v>2.66</v>
      </c>
      <c r="C172" s="3">
        <f t="shared" si="2"/>
        <v>619.05999999999995</v>
      </c>
    </row>
    <row r="173" spans="1:3" x14ac:dyDescent="0.45">
      <c r="A173" s="5">
        <v>27851</v>
      </c>
      <c r="B173">
        <v>2.56</v>
      </c>
      <c r="C173" s="3">
        <f t="shared" si="2"/>
        <v>618.95999999999992</v>
      </c>
    </row>
    <row r="174" spans="1:3" x14ac:dyDescent="0.45">
      <c r="A174" s="5">
        <v>27881</v>
      </c>
      <c r="B174">
        <v>2.4700000000000002</v>
      </c>
      <c r="C174" s="3">
        <f t="shared" si="2"/>
        <v>618.87</v>
      </c>
    </row>
    <row r="175" spans="1:3" x14ac:dyDescent="0.45">
      <c r="A175" s="5">
        <v>27912</v>
      </c>
      <c r="B175">
        <v>2.38</v>
      </c>
      <c r="C175" s="3">
        <f t="shared" si="2"/>
        <v>618.78</v>
      </c>
    </row>
    <row r="176" spans="1:3" x14ac:dyDescent="0.45">
      <c r="A176" s="5">
        <v>27942</v>
      </c>
      <c r="B176">
        <v>2.2799999999999998</v>
      </c>
      <c r="C176" s="3">
        <f t="shared" si="2"/>
        <v>618.67999999999995</v>
      </c>
    </row>
    <row r="177" spans="1:3" x14ac:dyDescent="0.45">
      <c r="A177" s="5">
        <v>27973</v>
      </c>
      <c r="B177">
        <v>2.19</v>
      </c>
      <c r="C177" s="3">
        <f t="shared" si="2"/>
        <v>618.59</v>
      </c>
    </row>
    <row r="178" spans="1:3" x14ac:dyDescent="0.45">
      <c r="A178" s="5">
        <v>28004</v>
      </c>
      <c r="B178">
        <v>2.1</v>
      </c>
      <c r="C178" s="3">
        <f t="shared" si="2"/>
        <v>618.5</v>
      </c>
    </row>
    <row r="179" spans="1:3" x14ac:dyDescent="0.45">
      <c r="A179" s="5">
        <v>28034</v>
      </c>
      <c r="B179">
        <v>2</v>
      </c>
      <c r="C179" s="3">
        <f t="shared" si="2"/>
        <v>618.4</v>
      </c>
    </row>
    <row r="180" spans="1:3" x14ac:dyDescent="0.45">
      <c r="A180" s="5">
        <v>28065</v>
      </c>
      <c r="B180">
        <v>1.91</v>
      </c>
      <c r="C180" s="3">
        <f t="shared" si="2"/>
        <v>618.30999999999995</v>
      </c>
    </row>
    <row r="181" spans="1:3" x14ac:dyDescent="0.45">
      <c r="A181" s="5">
        <v>28095</v>
      </c>
      <c r="B181">
        <v>1.82</v>
      </c>
      <c r="C181" s="3">
        <f t="shared" si="2"/>
        <v>618.22</v>
      </c>
    </row>
    <row r="182" spans="1:3" x14ac:dyDescent="0.45">
      <c r="A182" s="5">
        <v>28126</v>
      </c>
      <c r="B182">
        <v>1.72</v>
      </c>
      <c r="C182" s="3">
        <f t="shared" si="2"/>
        <v>618.12</v>
      </c>
    </row>
    <row r="183" spans="1:3" x14ac:dyDescent="0.45">
      <c r="A183" s="5">
        <v>28157</v>
      </c>
      <c r="B183">
        <v>1.58</v>
      </c>
      <c r="C183" s="3">
        <f t="shared" si="2"/>
        <v>617.98</v>
      </c>
    </row>
    <row r="184" spans="1:3" x14ac:dyDescent="0.45">
      <c r="A184" s="5">
        <v>28185</v>
      </c>
      <c r="B184">
        <v>1.44</v>
      </c>
      <c r="C184" s="3">
        <f t="shared" si="2"/>
        <v>617.84</v>
      </c>
    </row>
    <row r="185" spans="1:3" x14ac:dyDescent="0.45">
      <c r="A185" s="5">
        <v>28216</v>
      </c>
      <c r="B185">
        <v>1.29</v>
      </c>
      <c r="C185" s="3">
        <f t="shared" si="2"/>
        <v>617.68999999999994</v>
      </c>
    </row>
    <row r="186" spans="1:3" x14ac:dyDescent="0.45">
      <c r="A186" s="5">
        <v>28246</v>
      </c>
      <c r="B186">
        <v>1.1499999999999999</v>
      </c>
      <c r="C186" s="3">
        <f t="shared" si="2"/>
        <v>617.54999999999995</v>
      </c>
    </row>
    <row r="187" spans="1:3" x14ac:dyDescent="0.45">
      <c r="A187" s="5">
        <v>28277</v>
      </c>
      <c r="B187">
        <v>1.01</v>
      </c>
      <c r="C187" s="3">
        <f t="shared" si="2"/>
        <v>617.41</v>
      </c>
    </row>
    <row r="188" spans="1:3" x14ac:dyDescent="0.45">
      <c r="A188" s="5">
        <v>28307</v>
      </c>
      <c r="B188">
        <v>0.86</v>
      </c>
      <c r="C188" s="3">
        <f t="shared" si="2"/>
        <v>617.26</v>
      </c>
    </row>
    <row r="189" spans="1:3" x14ac:dyDescent="0.45">
      <c r="A189" s="5">
        <v>28338</v>
      </c>
      <c r="B189">
        <v>0.72</v>
      </c>
      <c r="C189" s="3">
        <f t="shared" si="2"/>
        <v>617.12</v>
      </c>
    </row>
    <row r="190" spans="1:3" x14ac:dyDescent="0.45">
      <c r="A190" s="5">
        <v>28369</v>
      </c>
      <c r="B190">
        <v>0.56999999999999995</v>
      </c>
      <c r="C190" s="3">
        <f t="shared" si="2"/>
        <v>616.97</v>
      </c>
    </row>
    <row r="191" spans="1:3" x14ac:dyDescent="0.45">
      <c r="A191" s="5">
        <v>28399</v>
      </c>
      <c r="B191">
        <v>0.43</v>
      </c>
      <c r="C191" s="3">
        <f t="shared" si="2"/>
        <v>616.82999999999993</v>
      </c>
    </row>
    <row r="192" spans="1:3" x14ac:dyDescent="0.45">
      <c r="A192" s="5">
        <v>28430</v>
      </c>
      <c r="B192">
        <v>0.28999999999999998</v>
      </c>
      <c r="C192" s="3">
        <f t="shared" si="2"/>
        <v>616.68999999999994</v>
      </c>
    </row>
    <row r="193" spans="1:3" x14ac:dyDescent="0.45">
      <c r="A193" s="5">
        <v>28460</v>
      </c>
      <c r="B193">
        <v>0.14000000000000001</v>
      </c>
      <c r="C193" s="3">
        <f t="shared" si="2"/>
        <v>616.54</v>
      </c>
    </row>
    <row r="194" spans="1:3" x14ac:dyDescent="0.45">
      <c r="A194" s="5">
        <v>28491</v>
      </c>
      <c r="B194">
        <v>0</v>
      </c>
      <c r="C194" s="3">
        <f t="shared" ref="C194:C257" si="3">616.4+B194</f>
        <v>616.4</v>
      </c>
    </row>
    <row r="195" spans="1:3" x14ac:dyDescent="0.45">
      <c r="A195" s="5">
        <v>28522</v>
      </c>
      <c r="B195">
        <v>0</v>
      </c>
      <c r="C195" s="3">
        <f t="shared" si="3"/>
        <v>616.4</v>
      </c>
    </row>
    <row r="196" spans="1:3" x14ac:dyDescent="0.45">
      <c r="A196" s="5">
        <v>28550</v>
      </c>
      <c r="B196">
        <v>0</v>
      </c>
      <c r="C196" s="3">
        <f t="shared" si="3"/>
        <v>616.4</v>
      </c>
    </row>
    <row r="197" spans="1:3" x14ac:dyDescent="0.45">
      <c r="A197" s="5">
        <v>28581</v>
      </c>
      <c r="B197">
        <v>0</v>
      </c>
      <c r="C197" s="3">
        <f t="shared" si="3"/>
        <v>616.4</v>
      </c>
    </row>
    <row r="198" spans="1:3" x14ac:dyDescent="0.45">
      <c r="A198" s="5">
        <v>28611</v>
      </c>
      <c r="B198">
        <v>0</v>
      </c>
      <c r="C198" s="3">
        <f t="shared" si="3"/>
        <v>616.4</v>
      </c>
    </row>
    <row r="199" spans="1:3" x14ac:dyDescent="0.45">
      <c r="A199" s="5">
        <v>28642</v>
      </c>
      <c r="B199">
        <v>0</v>
      </c>
      <c r="C199" s="3">
        <f t="shared" si="3"/>
        <v>616.4</v>
      </c>
    </row>
    <row r="200" spans="1:3" x14ac:dyDescent="0.45">
      <c r="A200" s="5">
        <v>28672</v>
      </c>
      <c r="B200">
        <v>0</v>
      </c>
      <c r="C200" s="3">
        <f t="shared" si="3"/>
        <v>616.4</v>
      </c>
    </row>
    <row r="201" spans="1:3" x14ac:dyDescent="0.45">
      <c r="A201" s="5">
        <v>28703</v>
      </c>
      <c r="B201">
        <v>0</v>
      </c>
      <c r="C201" s="3">
        <f t="shared" si="3"/>
        <v>616.4</v>
      </c>
    </row>
    <row r="202" spans="1:3" x14ac:dyDescent="0.45">
      <c r="A202" s="5">
        <v>28734</v>
      </c>
      <c r="B202">
        <v>0</v>
      </c>
      <c r="C202" s="3">
        <f t="shared" si="3"/>
        <v>616.4</v>
      </c>
    </row>
    <row r="203" spans="1:3" x14ac:dyDescent="0.45">
      <c r="A203" s="5">
        <v>28764</v>
      </c>
      <c r="B203">
        <v>0</v>
      </c>
      <c r="C203" s="3">
        <f t="shared" si="3"/>
        <v>616.4</v>
      </c>
    </row>
    <row r="204" spans="1:3" x14ac:dyDescent="0.45">
      <c r="A204" s="5">
        <v>28795</v>
      </c>
      <c r="B204">
        <v>0</v>
      </c>
      <c r="C204" s="3">
        <f t="shared" si="3"/>
        <v>616.4</v>
      </c>
    </row>
    <row r="205" spans="1:3" x14ac:dyDescent="0.45">
      <c r="A205" s="5">
        <v>28825</v>
      </c>
      <c r="B205">
        <v>0</v>
      </c>
      <c r="C205" s="3">
        <f t="shared" si="3"/>
        <v>616.4</v>
      </c>
    </row>
    <row r="206" spans="1:3" x14ac:dyDescent="0.45">
      <c r="A206" s="5">
        <v>28856</v>
      </c>
      <c r="B206">
        <v>0</v>
      </c>
      <c r="C206" s="3">
        <f t="shared" si="3"/>
        <v>616.4</v>
      </c>
    </row>
    <row r="207" spans="1:3" x14ac:dyDescent="0.45">
      <c r="A207" s="5">
        <v>28887</v>
      </c>
      <c r="B207">
        <v>0.12</v>
      </c>
      <c r="C207" s="3">
        <f t="shared" si="3"/>
        <v>616.52</v>
      </c>
    </row>
    <row r="208" spans="1:3" x14ac:dyDescent="0.45">
      <c r="A208" s="5">
        <v>28915</v>
      </c>
      <c r="B208">
        <v>0.23</v>
      </c>
      <c r="C208" s="3">
        <f t="shared" si="3"/>
        <v>616.63</v>
      </c>
    </row>
    <row r="209" spans="1:3" x14ac:dyDescent="0.45">
      <c r="A209" s="5">
        <v>28946</v>
      </c>
      <c r="B209">
        <v>0.35</v>
      </c>
      <c r="C209" s="3">
        <f t="shared" si="3"/>
        <v>616.75</v>
      </c>
    </row>
    <row r="210" spans="1:3" x14ac:dyDescent="0.45">
      <c r="A210" s="5">
        <v>28976</v>
      </c>
      <c r="B210">
        <v>0.46</v>
      </c>
      <c r="C210" s="3">
        <f t="shared" si="3"/>
        <v>616.86</v>
      </c>
    </row>
    <row r="211" spans="1:3" x14ac:dyDescent="0.45">
      <c r="A211" s="5">
        <v>29007</v>
      </c>
      <c r="B211">
        <v>0.57999999999999996</v>
      </c>
      <c r="C211" s="3">
        <f t="shared" si="3"/>
        <v>616.98</v>
      </c>
    </row>
    <row r="212" spans="1:3" x14ac:dyDescent="0.45">
      <c r="A212" s="5">
        <v>29037</v>
      </c>
      <c r="B212">
        <v>0.69</v>
      </c>
      <c r="C212" s="3">
        <f t="shared" si="3"/>
        <v>617.09</v>
      </c>
    </row>
    <row r="213" spans="1:3" x14ac:dyDescent="0.45">
      <c r="A213" s="5">
        <v>29068</v>
      </c>
      <c r="B213">
        <v>0.81</v>
      </c>
      <c r="C213" s="3">
        <f t="shared" si="3"/>
        <v>617.20999999999992</v>
      </c>
    </row>
    <row r="214" spans="1:3" x14ac:dyDescent="0.45">
      <c r="A214" s="5">
        <v>29099</v>
      </c>
      <c r="B214">
        <v>0.93</v>
      </c>
      <c r="C214" s="3">
        <f t="shared" si="3"/>
        <v>617.32999999999993</v>
      </c>
    </row>
    <row r="215" spans="1:3" x14ac:dyDescent="0.45">
      <c r="A215" s="5">
        <v>29129</v>
      </c>
      <c r="B215">
        <v>1.04</v>
      </c>
      <c r="C215" s="3">
        <f t="shared" si="3"/>
        <v>617.43999999999994</v>
      </c>
    </row>
    <row r="216" spans="1:3" x14ac:dyDescent="0.45">
      <c r="A216" s="5">
        <v>29160</v>
      </c>
      <c r="B216">
        <v>1.1599999999999999</v>
      </c>
      <c r="C216" s="3">
        <f t="shared" si="3"/>
        <v>617.55999999999995</v>
      </c>
    </row>
    <row r="217" spans="1:3" x14ac:dyDescent="0.45">
      <c r="A217" s="5">
        <v>29190</v>
      </c>
      <c r="B217">
        <v>1.27</v>
      </c>
      <c r="C217" s="3">
        <f t="shared" si="3"/>
        <v>617.66999999999996</v>
      </c>
    </row>
    <row r="218" spans="1:3" x14ac:dyDescent="0.45">
      <c r="A218" s="5">
        <v>29221</v>
      </c>
      <c r="B218">
        <v>1.39</v>
      </c>
      <c r="C218" s="3">
        <f t="shared" si="3"/>
        <v>617.79</v>
      </c>
    </row>
    <row r="219" spans="1:3" x14ac:dyDescent="0.45">
      <c r="A219" s="5">
        <v>29252</v>
      </c>
      <c r="B219">
        <v>1.4</v>
      </c>
      <c r="C219" s="3">
        <f t="shared" si="3"/>
        <v>617.79999999999995</v>
      </c>
    </row>
    <row r="220" spans="1:3" x14ac:dyDescent="0.45">
      <c r="A220" s="5">
        <v>29281</v>
      </c>
      <c r="B220">
        <v>1.41</v>
      </c>
      <c r="C220" s="3">
        <f t="shared" si="3"/>
        <v>617.80999999999995</v>
      </c>
    </row>
    <row r="221" spans="1:3" x14ac:dyDescent="0.45">
      <c r="A221" s="5">
        <v>29312</v>
      </c>
      <c r="B221">
        <v>1.42</v>
      </c>
      <c r="C221" s="3">
        <f t="shared" si="3"/>
        <v>617.81999999999994</v>
      </c>
    </row>
    <row r="222" spans="1:3" x14ac:dyDescent="0.45">
      <c r="A222" s="5">
        <v>29342</v>
      </c>
      <c r="B222">
        <v>1.42</v>
      </c>
      <c r="C222" s="3">
        <f t="shared" si="3"/>
        <v>617.81999999999994</v>
      </c>
    </row>
    <row r="223" spans="1:3" x14ac:dyDescent="0.45">
      <c r="A223" s="5">
        <v>29373</v>
      </c>
      <c r="B223">
        <v>1.43</v>
      </c>
      <c r="C223" s="3">
        <f t="shared" si="3"/>
        <v>617.82999999999993</v>
      </c>
    </row>
    <row r="224" spans="1:3" x14ac:dyDescent="0.45">
      <c r="A224" s="5">
        <v>29403</v>
      </c>
      <c r="B224">
        <v>1.44</v>
      </c>
      <c r="C224" s="3">
        <f t="shared" si="3"/>
        <v>617.84</v>
      </c>
    </row>
    <row r="225" spans="1:3" x14ac:dyDescent="0.45">
      <c r="A225" s="5">
        <v>29434</v>
      </c>
      <c r="B225">
        <v>1.45</v>
      </c>
      <c r="C225" s="3">
        <f t="shared" si="3"/>
        <v>617.85</v>
      </c>
    </row>
    <row r="226" spans="1:3" x14ac:dyDescent="0.45">
      <c r="A226" s="5">
        <v>29465</v>
      </c>
      <c r="B226">
        <v>1.46</v>
      </c>
      <c r="C226" s="3">
        <f t="shared" si="3"/>
        <v>617.86</v>
      </c>
    </row>
    <row r="227" spans="1:3" x14ac:dyDescent="0.45">
      <c r="A227" s="5">
        <v>29495</v>
      </c>
      <c r="B227">
        <v>1.47</v>
      </c>
      <c r="C227" s="3">
        <f t="shared" si="3"/>
        <v>617.87</v>
      </c>
    </row>
    <row r="228" spans="1:3" x14ac:dyDescent="0.45">
      <c r="A228" s="5">
        <v>29526</v>
      </c>
      <c r="B228">
        <v>1.47</v>
      </c>
      <c r="C228" s="3">
        <f t="shared" si="3"/>
        <v>617.87</v>
      </c>
    </row>
    <row r="229" spans="1:3" x14ac:dyDescent="0.45">
      <c r="A229" s="5">
        <v>29556</v>
      </c>
      <c r="B229">
        <v>1.48</v>
      </c>
      <c r="C229" s="3">
        <f t="shared" si="3"/>
        <v>617.88</v>
      </c>
    </row>
    <row r="230" spans="1:3" x14ac:dyDescent="0.45">
      <c r="A230" s="5">
        <v>29587</v>
      </c>
      <c r="B230">
        <v>1.49</v>
      </c>
      <c r="C230" s="3">
        <f t="shared" si="3"/>
        <v>617.89</v>
      </c>
    </row>
    <row r="231" spans="1:3" x14ac:dyDescent="0.45">
      <c r="A231" s="5">
        <v>29618</v>
      </c>
      <c r="B231">
        <v>1.48</v>
      </c>
      <c r="C231" s="3">
        <f t="shared" si="3"/>
        <v>617.88</v>
      </c>
    </row>
    <row r="232" spans="1:3" x14ac:dyDescent="0.45">
      <c r="A232" s="5">
        <v>29646</v>
      </c>
      <c r="B232">
        <v>1.48</v>
      </c>
      <c r="C232" s="3">
        <f t="shared" si="3"/>
        <v>617.88</v>
      </c>
    </row>
    <row r="233" spans="1:3" x14ac:dyDescent="0.45">
      <c r="A233" s="5">
        <v>29677</v>
      </c>
      <c r="B233">
        <v>1.47</v>
      </c>
      <c r="C233" s="3">
        <f t="shared" si="3"/>
        <v>617.87</v>
      </c>
    </row>
    <row r="234" spans="1:3" x14ac:dyDescent="0.45">
      <c r="A234" s="5">
        <v>29707</v>
      </c>
      <c r="B234">
        <v>1.46</v>
      </c>
      <c r="C234" s="3">
        <f t="shared" si="3"/>
        <v>617.86</v>
      </c>
    </row>
    <row r="235" spans="1:3" x14ac:dyDescent="0.45">
      <c r="A235" s="5">
        <v>29738</v>
      </c>
      <c r="B235">
        <v>1.45</v>
      </c>
      <c r="C235" s="3">
        <f t="shared" si="3"/>
        <v>617.85</v>
      </c>
    </row>
    <row r="236" spans="1:3" x14ac:dyDescent="0.45">
      <c r="A236" s="5">
        <v>29768</v>
      </c>
      <c r="B236">
        <v>1.44</v>
      </c>
      <c r="C236" s="3">
        <f t="shared" si="3"/>
        <v>617.84</v>
      </c>
    </row>
    <row r="237" spans="1:3" x14ac:dyDescent="0.45">
      <c r="A237" s="5">
        <v>29799</v>
      </c>
      <c r="B237">
        <v>1.44</v>
      </c>
      <c r="C237" s="3">
        <f t="shared" si="3"/>
        <v>617.84</v>
      </c>
    </row>
    <row r="238" spans="1:3" x14ac:dyDescent="0.45">
      <c r="A238" s="5">
        <v>29830</v>
      </c>
      <c r="B238">
        <v>1.43</v>
      </c>
      <c r="C238" s="3">
        <f t="shared" si="3"/>
        <v>617.82999999999993</v>
      </c>
    </row>
    <row r="239" spans="1:3" x14ac:dyDescent="0.45">
      <c r="A239" s="5">
        <v>29860</v>
      </c>
      <c r="B239">
        <v>1.42</v>
      </c>
      <c r="C239" s="3">
        <f t="shared" si="3"/>
        <v>617.81999999999994</v>
      </c>
    </row>
    <row r="240" spans="1:3" x14ac:dyDescent="0.45">
      <c r="A240" s="5">
        <v>29891</v>
      </c>
      <c r="B240">
        <v>1.41</v>
      </c>
      <c r="C240" s="3">
        <f t="shared" si="3"/>
        <v>617.80999999999995</v>
      </c>
    </row>
    <row r="241" spans="1:3" x14ac:dyDescent="0.45">
      <c r="A241" s="5">
        <v>29921</v>
      </c>
      <c r="B241">
        <v>1.4</v>
      </c>
      <c r="C241" s="3">
        <f t="shared" si="3"/>
        <v>617.79999999999995</v>
      </c>
    </row>
    <row r="242" spans="1:3" x14ac:dyDescent="0.45">
      <c r="A242" s="5">
        <v>29952</v>
      </c>
      <c r="B242">
        <v>1.4</v>
      </c>
      <c r="C242" s="3">
        <f t="shared" si="3"/>
        <v>617.79999999999995</v>
      </c>
    </row>
    <row r="243" spans="1:3" x14ac:dyDescent="0.45">
      <c r="A243" s="5">
        <v>29983</v>
      </c>
      <c r="B243">
        <v>1.38</v>
      </c>
      <c r="C243" s="3">
        <f t="shared" si="3"/>
        <v>617.78</v>
      </c>
    </row>
    <row r="244" spans="1:3" x14ac:dyDescent="0.45">
      <c r="A244" s="5">
        <v>30011</v>
      </c>
      <c r="B244">
        <v>1.36</v>
      </c>
      <c r="C244" s="3">
        <f t="shared" si="3"/>
        <v>617.76</v>
      </c>
    </row>
    <row r="245" spans="1:3" x14ac:dyDescent="0.45">
      <c r="A245" s="5">
        <v>30042</v>
      </c>
      <c r="B245">
        <v>1.35</v>
      </c>
      <c r="C245" s="3">
        <f t="shared" si="3"/>
        <v>617.75</v>
      </c>
    </row>
    <row r="246" spans="1:3" x14ac:dyDescent="0.45">
      <c r="A246" s="5">
        <v>30072</v>
      </c>
      <c r="B246">
        <v>1.33</v>
      </c>
      <c r="C246" s="3">
        <f t="shared" si="3"/>
        <v>617.73</v>
      </c>
    </row>
    <row r="247" spans="1:3" x14ac:dyDescent="0.45">
      <c r="A247" s="5">
        <v>30103</v>
      </c>
      <c r="B247">
        <v>1.31</v>
      </c>
      <c r="C247" s="3">
        <f t="shared" si="3"/>
        <v>617.70999999999992</v>
      </c>
    </row>
    <row r="248" spans="1:3" x14ac:dyDescent="0.45">
      <c r="A248" s="5">
        <v>30133</v>
      </c>
      <c r="B248">
        <v>1.3</v>
      </c>
      <c r="C248" s="3">
        <f t="shared" si="3"/>
        <v>617.69999999999993</v>
      </c>
    </row>
    <row r="249" spans="1:3" x14ac:dyDescent="0.45">
      <c r="A249" s="5">
        <v>30164</v>
      </c>
      <c r="B249">
        <v>1.28</v>
      </c>
      <c r="C249" s="3">
        <f t="shared" si="3"/>
        <v>617.67999999999995</v>
      </c>
    </row>
    <row r="250" spans="1:3" x14ac:dyDescent="0.45">
      <c r="A250" s="5">
        <v>30195</v>
      </c>
      <c r="B250">
        <v>1.26</v>
      </c>
      <c r="C250" s="3">
        <f t="shared" si="3"/>
        <v>617.66</v>
      </c>
    </row>
    <row r="251" spans="1:3" x14ac:dyDescent="0.45">
      <c r="A251" s="5">
        <v>30225</v>
      </c>
      <c r="B251">
        <v>1.25</v>
      </c>
      <c r="C251" s="3">
        <f t="shared" si="3"/>
        <v>617.65</v>
      </c>
    </row>
    <row r="252" spans="1:3" x14ac:dyDescent="0.45">
      <c r="A252" s="5">
        <v>30256</v>
      </c>
      <c r="B252">
        <v>1.23</v>
      </c>
      <c r="C252" s="3">
        <f t="shared" si="3"/>
        <v>617.63</v>
      </c>
    </row>
    <row r="253" spans="1:3" x14ac:dyDescent="0.45">
      <c r="A253" s="5">
        <v>30286</v>
      </c>
      <c r="B253">
        <v>1.21</v>
      </c>
      <c r="C253" s="3">
        <f t="shared" si="3"/>
        <v>617.61</v>
      </c>
    </row>
    <row r="254" spans="1:3" x14ac:dyDescent="0.45">
      <c r="A254" s="5">
        <v>30317</v>
      </c>
      <c r="B254">
        <v>1.2</v>
      </c>
      <c r="C254" s="3">
        <f t="shared" si="3"/>
        <v>617.6</v>
      </c>
    </row>
    <row r="255" spans="1:3" x14ac:dyDescent="0.45">
      <c r="A255" s="5">
        <v>30348</v>
      </c>
      <c r="B255">
        <v>1.2</v>
      </c>
      <c r="C255" s="3">
        <f t="shared" si="3"/>
        <v>617.6</v>
      </c>
    </row>
    <row r="256" spans="1:3" x14ac:dyDescent="0.45">
      <c r="A256" s="5">
        <v>30376</v>
      </c>
      <c r="B256">
        <v>1.2</v>
      </c>
      <c r="C256" s="3">
        <f t="shared" si="3"/>
        <v>617.6</v>
      </c>
    </row>
    <row r="257" spans="1:3" x14ac:dyDescent="0.45">
      <c r="A257" s="5">
        <v>30407</v>
      </c>
      <c r="B257">
        <v>1.2</v>
      </c>
      <c r="C257" s="3">
        <f t="shared" si="3"/>
        <v>617.6</v>
      </c>
    </row>
    <row r="258" spans="1:3" x14ac:dyDescent="0.45">
      <c r="A258" s="5">
        <v>30437</v>
      </c>
      <c r="B258">
        <v>1.2</v>
      </c>
      <c r="C258" s="3">
        <f t="shared" ref="C258:C321" si="4">616.4+B258</f>
        <v>617.6</v>
      </c>
    </row>
    <row r="259" spans="1:3" x14ac:dyDescent="0.45">
      <c r="A259" s="5">
        <v>30468</v>
      </c>
      <c r="B259">
        <v>1.2</v>
      </c>
      <c r="C259" s="3">
        <f t="shared" si="4"/>
        <v>617.6</v>
      </c>
    </row>
    <row r="260" spans="1:3" x14ac:dyDescent="0.45">
      <c r="A260" s="5">
        <v>30498</v>
      </c>
      <c r="B260">
        <v>1.2</v>
      </c>
      <c r="C260" s="3">
        <f t="shared" si="4"/>
        <v>617.6</v>
      </c>
    </row>
    <row r="261" spans="1:3" x14ac:dyDescent="0.45">
      <c r="A261" s="5">
        <v>30529</v>
      </c>
      <c r="B261">
        <v>1.2</v>
      </c>
      <c r="C261" s="3">
        <f t="shared" si="4"/>
        <v>617.6</v>
      </c>
    </row>
    <row r="262" spans="1:3" x14ac:dyDescent="0.45">
      <c r="A262" s="5">
        <v>30560</v>
      </c>
      <c r="B262">
        <v>1.2</v>
      </c>
      <c r="C262" s="3">
        <f t="shared" si="4"/>
        <v>617.6</v>
      </c>
    </row>
    <row r="263" spans="1:3" x14ac:dyDescent="0.45">
      <c r="A263" s="5">
        <v>30590</v>
      </c>
      <c r="B263">
        <v>1.2</v>
      </c>
      <c r="C263" s="3">
        <f t="shared" si="4"/>
        <v>617.6</v>
      </c>
    </row>
    <row r="264" spans="1:3" x14ac:dyDescent="0.45">
      <c r="A264" s="5">
        <v>30621</v>
      </c>
      <c r="B264">
        <v>1.2</v>
      </c>
      <c r="C264" s="3">
        <f t="shared" si="4"/>
        <v>617.6</v>
      </c>
    </row>
    <row r="265" spans="1:3" x14ac:dyDescent="0.45">
      <c r="A265" s="5">
        <v>30651</v>
      </c>
      <c r="B265">
        <v>1.2</v>
      </c>
      <c r="C265" s="3">
        <f t="shared" si="4"/>
        <v>617.6</v>
      </c>
    </row>
    <row r="266" spans="1:3" x14ac:dyDescent="0.45">
      <c r="A266" s="5">
        <v>30682</v>
      </c>
      <c r="B266">
        <v>1.2</v>
      </c>
      <c r="C266" s="3">
        <f t="shared" si="4"/>
        <v>617.6</v>
      </c>
    </row>
    <row r="267" spans="1:3" x14ac:dyDescent="0.45">
      <c r="A267" s="5">
        <v>30713</v>
      </c>
      <c r="B267">
        <v>1.18</v>
      </c>
      <c r="C267" s="3">
        <f t="shared" si="4"/>
        <v>617.57999999999993</v>
      </c>
    </row>
    <row r="268" spans="1:3" x14ac:dyDescent="0.45">
      <c r="A268" s="5">
        <v>30742</v>
      </c>
      <c r="B268">
        <v>1.17</v>
      </c>
      <c r="C268" s="3">
        <f t="shared" si="4"/>
        <v>617.56999999999994</v>
      </c>
    </row>
    <row r="269" spans="1:3" x14ac:dyDescent="0.45">
      <c r="A269" s="5">
        <v>30773</v>
      </c>
      <c r="B269">
        <v>1.1499999999999999</v>
      </c>
      <c r="C269" s="3">
        <f t="shared" si="4"/>
        <v>617.54999999999995</v>
      </c>
    </row>
    <row r="270" spans="1:3" x14ac:dyDescent="0.45">
      <c r="A270" s="5">
        <v>30803</v>
      </c>
      <c r="B270">
        <v>1.1299999999999999</v>
      </c>
      <c r="C270" s="3">
        <f t="shared" si="4"/>
        <v>617.53</v>
      </c>
    </row>
    <row r="271" spans="1:3" x14ac:dyDescent="0.45">
      <c r="A271" s="5">
        <v>30834</v>
      </c>
      <c r="B271">
        <v>1.1200000000000001</v>
      </c>
      <c r="C271" s="3">
        <f t="shared" si="4"/>
        <v>617.52</v>
      </c>
    </row>
    <row r="272" spans="1:3" x14ac:dyDescent="0.45">
      <c r="A272" s="5">
        <v>30864</v>
      </c>
      <c r="B272">
        <v>1.1000000000000001</v>
      </c>
      <c r="C272" s="3">
        <f t="shared" si="4"/>
        <v>617.5</v>
      </c>
    </row>
    <row r="273" spans="1:3" x14ac:dyDescent="0.45">
      <c r="A273" s="5">
        <v>30895</v>
      </c>
      <c r="B273">
        <v>1.08</v>
      </c>
      <c r="C273" s="3">
        <f t="shared" si="4"/>
        <v>617.48</v>
      </c>
    </row>
    <row r="274" spans="1:3" x14ac:dyDescent="0.45">
      <c r="A274" s="5">
        <v>30926</v>
      </c>
      <c r="B274">
        <v>1.06</v>
      </c>
      <c r="C274" s="3">
        <f t="shared" si="4"/>
        <v>617.45999999999992</v>
      </c>
    </row>
    <row r="275" spans="1:3" x14ac:dyDescent="0.45">
      <c r="A275" s="5">
        <v>30956</v>
      </c>
      <c r="B275">
        <v>1.05</v>
      </c>
      <c r="C275" s="3">
        <f t="shared" si="4"/>
        <v>617.44999999999993</v>
      </c>
    </row>
    <row r="276" spans="1:3" x14ac:dyDescent="0.45">
      <c r="A276" s="5">
        <v>30987</v>
      </c>
      <c r="B276">
        <v>1.03</v>
      </c>
      <c r="C276" s="3">
        <f t="shared" si="4"/>
        <v>617.42999999999995</v>
      </c>
    </row>
    <row r="277" spans="1:3" x14ac:dyDescent="0.45">
      <c r="A277" s="5">
        <v>31017</v>
      </c>
      <c r="B277">
        <v>1.01</v>
      </c>
      <c r="C277" s="3">
        <f t="shared" si="4"/>
        <v>617.41</v>
      </c>
    </row>
    <row r="278" spans="1:3" x14ac:dyDescent="0.45">
      <c r="A278" s="5">
        <v>31048</v>
      </c>
      <c r="B278">
        <v>1</v>
      </c>
      <c r="C278" s="3">
        <f t="shared" si="4"/>
        <v>617.4</v>
      </c>
    </row>
    <row r="279" spans="1:3" x14ac:dyDescent="0.45">
      <c r="A279" s="5">
        <v>31079</v>
      </c>
      <c r="B279">
        <v>1.1200000000000001</v>
      </c>
      <c r="C279" s="3">
        <f t="shared" si="4"/>
        <v>617.52</v>
      </c>
    </row>
    <row r="280" spans="1:3" x14ac:dyDescent="0.45">
      <c r="A280" s="5">
        <v>31107</v>
      </c>
      <c r="B280">
        <v>1.25</v>
      </c>
      <c r="C280" s="3">
        <f t="shared" si="4"/>
        <v>617.65</v>
      </c>
    </row>
    <row r="281" spans="1:3" x14ac:dyDescent="0.45">
      <c r="A281" s="5">
        <v>31138</v>
      </c>
      <c r="B281">
        <v>1.37</v>
      </c>
      <c r="C281" s="3">
        <f t="shared" si="4"/>
        <v>617.77</v>
      </c>
    </row>
    <row r="282" spans="1:3" x14ac:dyDescent="0.45">
      <c r="A282" s="5">
        <v>31168</v>
      </c>
      <c r="B282">
        <v>1.5</v>
      </c>
      <c r="C282" s="3">
        <f t="shared" si="4"/>
        <v>617.9</v>
      </c>
    </row>
    <row r="283" spans="1:3" x14ac:dyDescent="0.45">
      <c r="A283" s="5">
        <v>31199</v>
      </c>
      <c r="B283">
        <v>1.62</v>
      </c>
      <c r="C283" s="3">
        <f t="shared" si="4"/>
        <v>618.02</v>
      </c>
    </row>
    <row r="284" spans="1:3" x14ac:dyDescent="0.45">
      <c r="A284" s="5">
        <v>31229</v>
      </c>
      <c r="B284">
        <v>1.75</v>
      </c>
      <c r="C284" s="3">
        <f t="shared" si="4"/>
        <v>618.15</v>
      </c>
    </row>
    <row r="285" spans="1:3" x14ac:dyDescent="0.45">
      <c r="A285" s="5">
        <v>31260</v>
      </c>
      <c r="B285">
        <v>1.87</v>
      </c>
      <c r="C285" s="3">
        <f t="shared" si="4"/>
        <v>618.27</v>
      </c>
    </row>
    <row r="286" spans="1:3" x14ac:dyDescent="0.45">
      <c r="A286" s="5">
        <v>31291</v>
      </c>
      <c r="B286">
        <v>2</v>
      </c>
      <c r="C286" s="3">
        <f t="shared" si="4"/>
        <v>618.4</v>
      </c>
    </row>
    <row r="287" spans="1:3" x14ac:dyDescent="0.45">
      <c r="A287" s="5">
        <v>31321</v>
      </c>
      <c r="B287">
        <v>2.12</v>
      </c>
      <c r="C287" s="3">
        <f t="shared" si="4"/>
        <v>618.52</v>
      </c>
    </row>
    <row r="288" spans="1:3" x14ac:dyDescent="0.45">
      <c r="A288" s="5">
        <v>31352</v>
      </c>
      <c r="B288">
        <v>2.25</v>
      </c>
      <c r="C288" s="3">
        <f t="shared" si="4"/>
        <v>618.65</v>
      </c>
    </row>
    <row r="289" spans="1:3" x14ac:dyDescent="0.45">
      <c r="A289" s="5">
        <v>31382</v>
      </c>
      <c r="B289">
        <v>2.37</v>
      </c>
      <c r="C289" s="3">
        <f t="shared" si="4"/>
        <v>618.77</v>
      </c>
    </row>
    <row r="290" spans="1:3" x14ac:dyDescent="0.45">
      <c r="A290" s="5">
        <v>31413</v>
      </c>
      <c r="B290">
        <v>2.5</v>
      </c>
      <c r="C290" s="3">
        <f t="shared" si="4"/>
        <v>618.9</v>
      </c>
    </row>
    <row r="291" spans="1:3" x14ac:dyDescent="0.45">
      <c r="A291" s="5">
        <v>31444</v>
      </c>
      <c r="B291">
        <v>2.4900000000000002</v>
      </c>
      <c r="C291" s="3">
        <f t="shared" si="4"/>
        <v>618.89</v>
      </c>
    </row>
    <row r="292" spans="1:3" x14ac:dyDescent="0.45">
      <c r="A292" s="5">
        <v>31472</v>
      </c>
      <c r="B292">
        <v>2.48</v>
      </c>
      <c r="C292" s="3">
        <f t="shared" si="4"/>
        <v>618.88</v>
      </c>
    </row>
    <row r="293" spans="1:3" x14ac:dyDescent="0.45">
      <c r="A293" s="5">
        <v>31503</v>
      </c>
      <c r="B293">
        <v>2.4700000000000002</v>
      </c>
      <c r="C293" s="3">
        <f t="shared" si="4"/>
        <v>618.87</v>
      </c>
    </row>
    <row r="294" spans="1:3" x14ac:dyDescent="0.45">
      <c r="A294" s="5">
        <v>31533</v>
      </c>
      <c r="B294">
        <v>2.46</v>
      </c>
      <c r="C294" s="3">
        <f t="shared" si="4"/>
        <v>618.86</v>
      </c>
    </row>
    <row r="295" spans="1:3" x14ac:dyDescent="0.45">
      <c r="A295" s="5">
        <v>31564</v>
      </c>
      <c r="B295">
        <v>2.46</v>
      </c>
      <c r="C295" s="3">
        <f t="shared" si="4"/>
        <v>618.86</v>
      </c>
    </row>
    <row r="296" spans="1:3" x14ac:dyDescent="0.45">
      <c r="A296" s="5">
        <v>31594</v>
      </c>
      <c r="B296">
        <v>2.4500000000000002</v>
      </c>
      <c r="C296" s="3">
        <f t="shared" si="4"/>
        <v>618.85</v>
      </c>
    </row>
    <row r="297" spans="1:3" x14ac:dyDescent="0.45">
      <c r="A297" s="5">
        <v>31625</v>
      </c>
      <c r="B297">
        <v>2.44</v>
      </c>
      <c r="C297" s="3">
        <f t="shared" si="4"/>
        <v>618.84</v>
      </c>
    </row>
    <row r="298" spans="1:3" x14ac:dyDescent="0.45">
      <c r="A298" s="5">
        <v>31656</v>
      </c>
      <c r="B298">
        <v>2.4300000000000002</v>
      </c>
      <c r="C298" s="3">
        <f t="shared" si="4"/>
        <v>618.82999999999993</v>
      </c>
    </row>
    <row r="299" spans="1:3" x14ac:dyDescent="0.45">
      <c r="A299" s="5">
        <v>31686</v>
      </c>
      <c r="B299">
        <v>2.42</v>
      </c>
      <c r="C299" s="3">
        <f t="shared" si="4"/>
        <v>618.81999999999994</v>
      </c>
    </row>
    <row r="300" spans="1:3" x14ac:dyDescent="0.45">
      <c r="A300" s="5">
        <v>31717</v>
      </c>
      <c r="B300">
        <v>2.41</v>
      </c>
      <c r="C300" s="3">
        <f t="shared" si="4"/>
        <v>618.80999999999995</v>
      </c>
    </row>
    <row r="301" spans="1:3" x14ac:dyDescent="0.45">
      <c r="A301" s="5">
        <v>31747</v>
      </c>
      <c r="B301">
        <v>2.41</v>
      </c>
      <c r="C301" s="3">
        <f t="shared" si="4"/>
        <v>618.80999999999995</v>
      </c>
    </row>
    <row r="302" spans="1:3" x14ac:dyDescent="0.45">
      <c r="A302" s="5">
        <v>31778</v>
      </c>
      <c r="B302">
        <v>2.4</v>
      </c>
      <c r="C302" s="3">
        <f t="shared" si="4"/>
        <v>618.79999999999995</v>
      </c>
    </row>
    <row r="303" spans="1:3" x14ac:dyDescent="0.45">
      <c r="A303" s="5">
        <v>31809</v>
      </c>
      <c r="B303">
        <v>2.37</v>
      </c>
      <c r="C303" s="3">
        <f t="shared" si="4"/>
        <v>618.77</v>
      </c>
    </row>
    <row r="304" spans="1:3" x14ac:dyDescent="0.45">
      <c r="A304" s="5">
        <v>31837</v>
      </c>
      <c r="B304">
        <v>2.35</v>
      </c>
      <c r="C304" s="3">
        <f t="shared" si="4"/>
        <v>618.75</v>
      </c>
    </row>
    <row r="305" spans="1:3" x14ac:dyDescent="0.45">
      <c r="A305" s="5">
        <v>31868</v>
      </c>
      <c r="B305">
        <v>2.3199999999999998</v>
      </c>
      <c r="C305" s="3">
        <f t="shared" si="4"/>
        <v>618.72</v>
      </c>
    </row>
    <row r="306" spans="1:3" x14ac:dyDescent="0.45">
      <c r="A306" s="5">
        <v>31898</v>
      </c>
      <c r="B306">
        <v>2.2999999999999998</v>
      </c>
      <c r="C306" s="3">
        <f t="shared" si="4"/>
        <v>618.69999999999993</v>
      </c>
    </row>
    <row r="307" spans="1:3" x14ac:dyDescent="0.45">
      <c r="A307" s="5">
        <v>31929</v>
      </c>
      <c r="B307">
        <v>2.27</v>
      </c>
      <c r="C307" s="3">
        <f t="shared" si="4"/>
        <v>618.66999999999996</v>
      </c>
    </row>
    <row r="308" spans="1:3" x14ac:dyDescent="0.45">
      <c r="A308" s="5">
        <v>31959</v>
      </c>
      <c r="B308">
        <v>2.25</v>
      </c>
      <c r="C308" s="3">
        <f t="shared" si="4"/>
        <v>618.65</v>
      </c>
    </row>
    <row r="309" spans="1:3" x14ac:dyDescent="0.45">
      <c r="A309" s="5">
        <v>31990</v>
      </c>
      <c r="B309">
        <v>2.23</v>
      </c>
      <c r="C309" s="3">
        <f t="shared" si="4"/>
        <v>618.63</v>
      </c>
    </row>
    <row r="310" spans="1:3" x14ac:dyDescent="0.45">
      <c r="A310" s="5">
        <v>32021</v>
      </c>
      <c r="B310">
        <v>2.2000000000000002</v>
      </c>
      <c r="C310" s="3">
        <f t="shared" si="4"/>
        <v>618.6</v>
      </c>
    </row>
    <row r="311" spans="1:3" x14ac:dyDescent="0.45">
      <c r="A311" s="5">
        <v>32051</v>
      </c>
      <c r="B311">
        <v>2.1800000000000002</v>
      </c>
      <c r="C311" s="3">
        <f t="shared" si="4"/>
        <v>618.57999999999993</v>
      </c>
    </row>
    <row r="312" spans="1:3" x14ac:dyDescent="0.45">
      <c r="A312" s="5">
        <v>32082</v>
      </c>
      <c r="B312">
        <v>2.15</v>
      </c>
      <c r="C312" s="3">
        <f t="shared" si="4"/>
        <v>618.54999999999995</v>
      </c>
    </row>
    <row r="313" spans="1:3" x14ac:dyDescent="0.45">
      <c r="A313" s="5">
        <v>32112</v>
      </c>
      <c r="B313">
        <v>2.13</v>
      </c>
      <c r="C313" s="3">
        <f t="shared" si="4"/>
        <v>618.53</v>
      </c>
    </row>
    <row r="314" spans="1:3" x14ac:dyDescent="0.45">
      <c r="A314" s="5">
        <v>32143</v>
      </c>
      <c r="B314">
        <v>2.1</v>
      </c>
      <c r="C314" s="3">
        <f t="shared" si="4"/>
        <v>618.5</v>
      </c>
    </row>
    <row r="315" spans="1:3" x14ac:dyDescent="0.45">
      <c r="A315" s="5">
        <v>32174</v>
      </c>
      <c r="B315">
        <v>2.09</v>
      </c>
      <c r="C315" s="3">
        <f t="shared" si="4"/>
        <v>618.49</v>
      </c>
    </row>
    <row r="316" spans="1:3" x14ac:dyDescent="0.45">
      <c r="A316" s="5">
        <v>32203</v>
      </c>
      <c r="B316">
        <v>2.09</v>
      </c>
      <c r="C316" s="3">
        <f t="shared" si="4"/>
        <v>618.49</v>
      </c>
    </row>
    <row r="317" spans="1:3" x14ac:dyDescent="0.45">
      <c r="A317" s="5">
        <v>32234</v>
      </c>
      <c r="B317">
        <v>2.08</v>
      </c>
      <c r="C317" s="3">
        <f t="shared" si="4"/>
        <v>618.48</v>
      </c>
    </row>
    <row r="318" spans="1:3" x14ac:dyDescent="0.45">
      <c r="A318" s="5">
        <v>32264</v>
      </c>
      <c r="B318">
        <v>2.0699999999999998</v>
      </c>
      <c r="C318" s="3">
        <f t="shared" si="4"/>
        <v>618.47</v>
      </c>
    </row>
    <row r="319" spans="1:3" x14ac:dyDescent="0.45">
      <c r="A319" s="5">
        <v>32295</v>
      </c>
      <c r="B319">
        <v>2.06</v>
      </c>
      <c r="C319" s="3">
        <f t="shared" si="4"/>
        <v>618.45999999999992</v>
      </c>
    </row>
    <row r="320" spans="1:3" x14ac:dyDescent="0.45">
      <c r="A320" s="5">
        <v>32325</v>
      </c>
      <c r="B320">
        <v>2.0499999999999998</v>
      </c>
      <c r="C320" s="3">
        <f t="shared" si="4"/>
        <v>618.44999999999993</v>
      </c>
    </row>
    <row r="321" spans="1:3" x14ac:dyDescent="0.45">
      <c r="A321" s="5">
        <v>32356</v>
      </c>
      <c r="B321">
        <v>2.04</v>
      </c>
      <c r="C321" s="3">
        <f t="shared" si="4"/>
        <v>618.43999999999994</v>
      </c>
    </row>
    <row r="322" spans="1:3" x14ac:dyDescent="0.45">
      <c r="A322" s="5">
        <v>32387</v>
      </c>
      <c r="B322">
        <v>2.0299999999999998</v>
      </c>
      <c r="C322" s="3">
        <f t="shared" ref="C322:C385" si="5">616.4+B322</f>
        <v>618.42999999999995</v>
      </c>
    </row>
    <row r="323" spans="1:3" x14ac:dyDescent="0.45">
      <c r="A323" s="5">
        <v>32417</v>
      </c>
      <c r="B323">
        <v>2.0299999999999998</v>
      </c>
      <c r="C323" s="3">
        <f t="shared" si="5"/>
        <v>618.42999999999995</v>
      </c>
    </row>
    <row r="324" spans="1:3" x14ac:dyDescent="0.45">
      <c r="A324" s="5">
        <v>32448</v>
      </c>
      <c r="B324">
        <v>2.02</v>
      </c>
      <c r="C324" s="3">
        <f t="shared" si="5"/>
        <v>618.41999999999996</v>
      </c>
    </row>
    <row r="325" spans="1:3" x14ac:dyDescent="0.45">
      <c r="A325" s="5">
        <v>32478</v>
      </c>
      <c r="B325">
        <v>2.0099999999999998</v>
      </c>
      <c r="C325" s="3">
        <f t="shared" si="5"/>
        <v>618.41</v>
      </c>
    </row>
    <row r="326" spans="1:3" x14ac:dyDescent="0.45">
      <c r="A326" s="5">
        <v>32509</v>
      </c>
      <c r="B326">
        <v>2</v>
      </c>
      <c r="C326" s="3">
        <f t="shared" si="5"/>
        <v>618.4</v>
      </c>
    </row>
    <row r="327" spans="1:3" x14ac:dyDescent="0.45">
      <c r="A327" s="5">
        <v>32540</v>
      </c>
      <c r="B327">
        <v>2.08</v>
      </c>
      <c r="C327" s="3">
        <f t="shared" si="5"/>
        <v>618.48</v>
      </c>
    </row>
    <row r="328" spans="1:3" x14ac:dyDescent="0.45">
      <c r="A328" s="5">
        <v>32568</v>
      </c>
      <c r="B328">
        <v>2.15</v>
      </c>
      <c r="C328" s="3">
        <f t="shared" si="5"/>
        <v>618.54999999999995</v>
      </c>
    </row>
    <row r="329" spans="1:3" x14ac:dyDescent="0.45">
      <c r="A329" s="5">
        <v>32599</v>
      </c>
      <c r="B329">
        <v>2.2200000000000002</v>
      </c>
      <c r="C329" s="3">
        <f t="shared" si="5"/>
        <v>618.62</v>
      </c>
    </row>
    <row r="330" spans="1:3" x14ac:dyDescent="0.45">
      <c r="A330" s="5">
        <v>32629</v>
      </c>
      <c r="B330">
        <v>2.2999999999999998</v>
      </c>
      <c r="C330" s="3">
        <f t="shared" si="5"/>
        <v>618.69999999999993</v>
      </c>
    </row>
    <row r="331" spans="1:3" x14ac:dyDescent="0.45">
      <c r="A331" s="5">
        <v>32660</v>
      </c>
      <c r="B331">
        <v>2.37</v>
      </c>
      <c r="C331" s="3">
        <f t="shared" si="5"/>
        <v>618.77</v>
      </c>
    </row>
    <row r="332" spans="1:3" x14ac:dyDescent="0.45">
      <c r="A332" s="5">
        <v>32690</v>
      </c>
      <c r="B332">
        <v>2.4500000000000002</v>
      </c>
      <c r="C332" s="3">
        <f t="shared" si="5"/>
        <v>618.85</v>
      </c>
    </row>
    <row r="333" spans="1:3" x14ac:dyDescent="0.45">
      <c r="A333" s="5">
        <v>32721</v>
      </c>
      <c r="B333">
        <v>2.52</v>
      </c>
      <c r="C333" s="3">
        <f t="shared" si="5"/>
        <v>618.91999999999996</v>
      </c>
    </row>
    <row r="334" spans="1:3" x14ac:dyDescent="0.45">
      <c r="A334" s="5">
        <v>32752</v>
      </c>
      <c r="B334">
        <v>2.6</v>
      </c>
      <c r="C334" s="3">
        <f t="shared" si="5"/>
        <v>619</v>
      </c>
    </row>
    <row r="335" spans="1:3" x14ac:dyDescent="0.45">
      <c r="A335" s="5">
        <v>32782</v>
      </c>
      <c r="B335">
        <v>2.67</v>
      </c>
      <c r="C335" s="3">
        <f t="shared" si="5"/>
        <v>619.06999999999994</v>
      </c>
    </row>
    <row r="336" spans="1:3" x14ac:dyDescent="0.45">
      <c r="A336" s="5">
        <v>32813</v>
      </c>
      <c r="B336">
        <v>2.75</v>
      </c>
      <c r="C336" s="3">
        <f t="shared" si="5"/>
        <v>619.15</v>
      </c>
    </row>
    <row r="337" spans="1:3" x14ac:dyDescent="0.45">
      <c r="A337" s="5">
        <v>32843</v>
      </c>
      <c r="B337">
        <v>2.82</v>
      </c>
      <c r="C337" s="3">
        <f t="shared" si="5"/>
        <v>619.22</v>
      </c>
    </row>
    <row r="338" spans="1:3" x14ac:dyDescent="0.45">
      <c r="A338" s="5">
        <v>32874</v>
      </c>
      <c r="B338">
        <v>2.9</v>
      </c>
      <c r="C338" s="3">
        <f t="shared" si="5"/>
        <v>619.29999999999995</v>
      </c>
    </row>
    <row r="339" spans="1:3" x14ac:dyDescent="0.45">
      <c r="A339" s="5">
        <v>32905</v>
      </c>
      <c r="B339">
        <v>2.89</v>
      </c>
      <c r="C339" s="3">
        <f t="shared" si="5"/>
        <v>619.29</v>
      </c>
    </row>
    <row r="340" spans="1:3" x14ac:dyDescent="0.45">
      <c r="A340" s="5">
        <v>32933</v>
      </c>
      <c r="B340">
        <v>2.88</v>
      </c>
      <c r="C340" s="3">
        <f t="shared" si="5"/>
        <v>619.28</v>
      </c>
    </row>
    <row r="341" spans="1:3" x14ac:dyDescent="0.45">
      <c r="A341" s="5">
        <v>32964</v>
      </c>
      <c r="B341">
        <v>2.87</v>
      </c>
      <c r="C341" s="3">
        <f t="shared" si="5"/>
        <v>619.27</v>
      </c>
    </row>
    <row r="342" spans="1:3" x14ac:dyDescent="0.45">
      <c r="A342" s="5">
        <v>32994</v>
      </c>
      <c r="B342">
        <v>2.86</v>
      </c>
      <c r="C342" s="3">
        <f t="shared" si="5"/>
        <v>619.26</v>
      </c>
    </row>
    <row r="343" spans="1:3" x14ac:dyDescent="0.45">
      <c r="A343" s="5">
        <v>33025</v>
      </c>
      <c r="B343">
        <v>2.86</v>
      </c>
      <c r="C343" s="3">
        <f t="shared" si="5"/>
        <v>619.26</v>
      </c>
    </row>
    <row r="344" spans="1:3" x14ac:dyDescent="0.45">
      <c r="A344" s="5">
        <v>33055</v>
      </c>
      <c r="B344">
        <v>2.85</v>
      </c>
      <c r="C344" s="3">
        <f t="shared" si="5"/>
        <v>619.25</v>
      </c>
    </row>
    <row r="345" spans="1:3" x14ac:dyDescent="0.45">
      <c r="A345" s="5">
        <v>33086</v>
      </c>
      <c r="B345">
        <v>2.84</v>
      </c>
      <c r="C345" s="3">
        <f t="shared" si="5"/>
        <v>619.24</v>
      </c>
    </row>
    <row r="346" spans="1:3" x14ac:dyDescent="0.45">
      <c r="A346" s="5">
        <v>33117</v>
      </c>
      <c r="B346">
        <v>2.83</v>
      </c>
      <c r="C346" s="3">
        <f t="shared" si="5"/>
        <v>619.23</v>
      </c>
    </row>
    <row r="347" spans="1:3" x14ac:dyDescent="0.45">
      <c r="A347" s="5">
        <v>33147</v>
      </c>
      <c r="B347">
        <v>2.82</v>
      </c>
      <c r="C347" s="3">
        <f t="shared" si="5"/>
        <v>619.22</v>
      </c>
    </row>
    <row r="348" spans="1:3" x14ac:dyDescent="0.45">
      <c r="A348" s="5">
        <v>33178</v>
      </c>
      <c r="B348">
        <v>2.82</v>
      </c>
      <c r="C348" s="3">
        <f t="shared" si="5"/>
        <v>619.22</v>
      </c>
    </row>
    <row r="349" spans="1:3" x14ac:dyDescent="0.45">
      <c r="A349" s="5">
        <v>33208</v>
      </c>
      <c r="B349">
        <v>2.81</v>
      </c>
      <c r="C349" s="3">
        <f t="shared" si="5"/>
        <v>619.20999999999992</v>
      </c>
    </row>
    <row r="350" spans="1:3" x14ac:dyDescent="0.45">
      <c r="A350" s="5">
        <v>33239</v>
      </c>
      <c r="B350">
        <v>2.8</v>
      </c>
      <c r="C350" s="3">
        <f t="shared" si="5"/>
        <v>619.19999999999993</v>
      </c>
    </row>
    <row r="351" spans="1:3" x14ac:dyDescent="0.45">
      <c r="A351" s="5">
        <v>33270</v>
      </c>
      <c r="B351">
        <v>2.69</v>
      </c>
      <c r="C351" s="3">
        <f t="shared" si="5"/>
        <v>619.09</v>
      </c>
    </row>
    <row r="352" spans="1:3" x14ac:dyDescent="0.45">
      <c r="A352" s="5">
        <v>33298</v>
      </c>
      <c r="B352">
        <v>2.58</v>
      </c>
      <c r="C352" s="3">
        <f t="shared" si="5"/>
        <v>618.98</v>
      </c>
    </row>
    <row r="353" spans="1:3" x14ac:dyDescent="0.45">
      <c r="A353" s="5">
        <v>33329</v>
      </c>
      <c r="B353">
        <v>2.48</v>
      </c>
      <c r="C353" s="3">
        <f t="shared" si="5"/>
        <v>618.88</v>
      </c>
    </row>
    <row r="354" spans="1:3" x14ac:dyDescent="0.45">
      <c r="A354" s="5">
        <v>33359</v>
      </c>
      <c r="B354">
        <v>2.37</v>
      </c>
      <c r="C354" s="3">
        <f t="shared" si="5"/>
        <v>618.77</v>
      </c>
    </row>
    <row r="355" spans="1:3" x14ac:dyDescent="0.45">
      <c r="A355" s="5">
        <v>33390</v>
      </c>
      <c r="B355">
        <v>2.2599999999999998</v>
      </c>
      <c r="C355" s="3">
        <f t="shared" si="5"/>
        <v>618.66</v>
      </c>
    </row>
    <row r="356" spans="1:3" x14ac:dyDescent="0.45">
      <c r="A356" s="5">
        <v>33420</v>
      </c>
      <c r="B356">
        <v>2.15</v>
      </c>
      <c r="C356" s="3">
        <f t="shared" si="5"/>
        <v>618.54999999999995</v>
      </c>
    </row>
    <row r="357" spans="1:3" x14ac:dyDescent="0.45">
      <c r="A357" s="5">
        <v>33451</v>
      </c>
      <c r="B357">
        <v>2.04</v>
      </c>
      <c r="C357" s="3">
        <f t="shared" si="5"/>
        <v>618.43999999999994</v>
      </c>
    </row>
    <row r="358" spans="1:3" x14ac:dyDescent="0.45">
      <c r="A358" s="5">
        <v>33482</v>
      </c>
      <c r="B358">
        <v>1.93</v>
      </c>
      <c r="C358" s="3">
        <f t="shared" si="5"/>
        <v>618.32999999999993</v>
      </c>
    </row>
    <row r="359" spans="1:3" x14ac:dyDescent="0.45">
      <c r="A359" s="5">
        <v>33512</v>
      </c>
      <c r="B359">
        <v>1.83</v>
      </c>
      <c r="C359" s="3">
        <f t="shared" si="5"/>
        <v>618.23</v>
      </c>
    </row>
    <row r="360" spans="1:3" x14ac:dyDescent="0.45">
      <c r="A360" s="5">
        <v>33543</v>
      </c>
      <c r="B360">
        <v>1.72</v>
      </c>
      <c r="C360" s="3">
        <f t="shared" si="5"/>
        <v>618.12</v>
      </c>
    </row>
    <row r="361" spans="1:3" x14ac:dyDescent="0.45">
      <c r="A361" s="5">
        <v>33573</v>
      </c>
      <c r="B361">
        <v>1.61</v>
      </c>
      <c r="C361" s="3">
        <f t="shared" si="5"/>
        <v>618.01</v>
      </c>
    </row>
    <row r="362" spans="1:3" x14ac:dyDescent="0.45">
      <c r="A362" s="5">
        <v>33604</v>
      </c>
      <c r="B362">
        <v>1.5</v>
      </c>
      <c r="C362" s="3">
        <f t="shared" si="5"/>
        <v>617.9</v>
      </c>
    </row>
    <row r="363" spans="1:3" x14ac:dyDescent="0.45">
      <c r="A363" s="5">
        <v>33635</v>
      </c>
      <c r="B363">
        <v>1.51</v>
      </c>
      <c r="C363" s="3">
        <f t="shared" si="5"/>
        <v>617.91</v>
      </c>
    </row>
    <row r="364" spans="1:3" x14ac:dyDescent="0.45">
      <c r="A364" s="5">
        <v>33664</v>
      </c>
      <c r="B364">
        <v>1.52</v>
      </c>
      <c r="C364" s="3">
        <f t="shared" si="5"/>
        <v>617.91999999999996</v>
      </c>
    </row>
    <row r="365" spans="1:3" x14ac:dyDescent="0.45">
      <c r="A365" s="5">
        <v>33695</v>
      </c>
      <c r="B365">
        <v>1.53</v>
      </c>
      <c r="C365" s="3">
        <f t="shared" si="5"/>
        <v>617.92999999999995</v>
      </c>
    </row>
    <row r="366" spans="1:3" x14ac:dyDescent="0.45">
      <c r="A366" s="5">
        <v>33725</v>
      </c>
      <c r="B366">
        <v>1.53</v>
      </c>
      <c r="C366" s="3">
        <f t="shared" si="5"/>
        <v>617.92999999999995</v>
      </c>
    </row>
    <row r="367" spans="1:3" x14ac:dyDescent="0.45">
      <c r="A367" s="5">
        <v>33756</v>
      </c>
      <c r="B367">
        <v>1.54</v>
      </c>
      <c r="C367" s="3">
        <f t="shared" si="5"/>
        <v>617.93999999999994</v>
      </c>
    </row>
    <row r="368" spans="1:3" x14ac:dyDescent="0.45">
      <c r="A368" s="5">
        <v>33786</v>
      </c>
      <c r="B368">
        <v>1.55</v>
      </c>
      <c r="C368" s="3">
        <f t="shared" si="5"/>
        <v>617.94999999999993</v>
      </c>
    </row>
    <row r="369" spans="1:3" x14ac:dyDescent="0.45">
      <c r="A369" s="5">
        <v>33817</v>
      </c>
      <c r="B369">
        <v>1.56</v>
      </c>
      <c r="C369" s="3">
        <f t="shared" si="5"/>
        <v>617.95999999999992</v>
      </c>
    </row>
    <row r="370" spans="1:3" x14ac:dyDescent="0.45">
      <c r="A370" s="5">
        <v>33848</v>
      </c>
      <c r="B370">
        <v>1.57</v>
      </c>
      <c r="C370" s="3">
        <f t="shared" si="5"/>
        <v>617.97</v>
      </c>
    </row>
    <row r="371" spans="1:3" x14ac:dyDescent="0.45">
      <c r="A371" s="5">
        <v>33878</v>
      </c>
      <c r="B371">
        <v>1.58</v>
      </c>
      <c r="C371" s="3">
        <f t="shared" si="5"/>
        <v>617.98</v>
      </c>
    </row>
    <row r="372" spans="1:3" x14ac:dyDescent="0.45">
      <c r="A372" s="5">
        <v>33909</v>
      </c>
      <c r="B372">
        <v>1.58</v>
      </c>
      <c r="C372" s="3">
        <f t="shared" si="5"/>
        <v>617.98</v>
      </c>
    </row>
    <row r="373" spans="1:3" x14ac:dyDescent="0.45">
      <c r="A373" s="5">
        <v>33939</v>
      </c>
      <c r="B373">
        <v>1.59</v>
      </c>
      <c r="C373" s="3">
        <f t="shared" si="5"/>
        <v>617.99</v>
      </c>
    </row>
    <row r="374" spans="1:3" x14ac:dyDescent="0.45">
      <c r="A374" s="5">
        <v>33970</v>
      </c>
      <c r="B374">
        <v>1.6</v>
      </c>
      <c r="C374" s="3">
        <f t="shared" si="5"/>
        <v>618</v>
      </c>
    </row>
    <row r="375" spans="1:3" x14ac:dyDescent="0.45">
      <c r="A375" s="5">
        <v>34001</v>
      </c>
      <c r="B375">
        <v>1.47</v>
      </c>
      <c r="C375" s="3">
        <f t="shared" si="5"/>
        <v>617.87</v>
      </c>
    </row>
    <row r="376" spans="1:3" x14ac:dyDescent="0.45">
      <c r="A376" s="5">
        <v>34029</v>
      </c>
      <c r="B376">
        <v>1.33</v>
      </c>
      <c r="C376" s="3">
        <f t="shared" si="5"/>
        <v>617.73</v>
      </c>
    </row>
    <row r="377" spans="1:3" x14ac:dyDescent="0.45">
      <c r="A377" s="5">
        <v>34060</v>
      </c>
      <c r="B377">
        <v>1.2</v>
      </c>
      <c r="C377" s="3">
        <f t="shared" si="5"/>
        <v>617.6</v>
      </c>
    </row>
    <row r="378" spans="1:3" x14ac:dyDescent="0.45">
      <c r="A378" s="5">
        <v>34090</v>
      </c>
      <c r="B378">
        <v>1.07</v>
      </c>
      <c r="C378" s="3">
        <f t="shared" si="5"/>
        <v>617.47</v>
      </c>
    </row>
    <row r="379" spans="1:3" x14ac:dyDescent="0.45">
      <c r="A379" s="5">
        <v>34121</v>
      </c>
      <c r="B379">
        <v>0.93</v>
      </c>
      <c r="C379" s="3">
        <f t="shared" si="5"/>
        <v>617.32999999999993</v>
      </c>
    </row>
    <row r="380" spans="1:3" x14ac:dyDescent="0.45">
      <c r="A380" s="5">
        <v>34151</v>
      </c>
      <c r="B380">
        <v>0.8</v>
      </c>
      <c r="C380" s="3">
        <f t="shared" si="5"/>
        <v>617.19999999999993</v>
      </c>
    </row>
    <row r="381" spans="1:3" x14ac:dyDescent="0.45">
      <c r="A381" s="5">
        <v>34182</v>
      </c>
      <c r="B381">
        <v>0.67</v>
      </c>
      <c r="C381" s="3">
        <f t="shared" si="5"/>
        <v>617.06999999999994</v>
      </c>
    </row>
    <row r="382" spans="1:3" x14ac:dyDescent="0.45">
      <c r="A382" s="5">
        <v>34213</v>
      </c>
      <c r="B382">
        <v>0.53</v>
      </c>
      <c r="C382" s="3">
        <f t="shared" si="5"/>
        <v>616.92999999999995</v>
      </c>
    </row>
    <row r="383" spans="1:3" x14ac:dyDescent="0.45">
      <c r="A383" s="5">
        <v>34243</v>
      </c>
      <c r="B383">
        <v>0.4</v>
      </c>
      <c r="C383" s="3">
        <f t="shared" si="5"/>
        <v>616.79999999999995</v>
      </c>
    </row>
    <row r="384" spans="1:3" x14ac:dyDescent="0.45">
      <c r="A384" s="5">
        <v>34274</v>
      </c>
      <c r="B384">
        <v>0.27</v>
      </c>
      <c r="C384" s="3">
        <f t="shared" si="5"/>
        <v>616.66999999999996</v>
      </c>
    </row>
    <row r="385" spans="1:3" x14ac:dyDescent="0.45">
      <c r="A385" s="5">
        <v>34304</v>
      </c>
      <c r="B385">
        <v>0.13</v>
      </c>
      <c r="C385" s="3">
        <f t="shared" si="5"/>
        <v>616.53</v>
      </c>
    </row>
    <row r="386" spans="1:3" x14ac:dyDescent="0.45">
      <c r="A386" s="5">
        <v>34335</v>
      </c>
      <c r="B386">
        <v>0</v>
      </c>
      <c r="C386" s="3">
        <f t="shared" ref="C386:C445" si="6">616.4+B386</f>
        <v>616.4</v>
      </c>
    </row>
    <row r="387" spans="1:3" x14ac:dyDescent="0.45">
      <c r="A387" s="5">
        <v>34366</v>
      </c>
      <c r="B387">
        <v>0</v>
      </c>
      <c r="C387" s="3">
        <f t="shared" si="6"/>
        <v>616.4</v>
      </c>
    </row>
    <row r="388" spans="1:3" x14ac:dyDescent="0.45">
      <c r="A388" s="5">
        <v>34394</v>
      </c>
      <c r="B388">
        <v>0</v>
      </c>
      <c r="C388" s="3">
        <f t="shared" si="6"/>
        <v>616.4</v>
      </c>
    </row>
    <row r="389" spans="1:3" x14ac:dyDescent="0.45">
      <c r="A389" s="5">
        <v>34425</v>
      </c>
      <c r="B389">
        <v>0</v>
      </c>
      <c r="C389" s="3">
        <f t="shared" si="6"/>
        <v>616.4</v>
      </c>
    </row>
    <row r="390" spans="1:3" x14ac:dyDescent="0.45">
      <c r="A390" s="5">
        <v>34455</v>
      </c>
      <c r="B390">
        <v>0</v>
      </c>
      <c r="C390" s="3">
        <f t="shared" si="6"/>
        <v>616.4</v>
      </c>
    </row>
    <row r="391" spans="1:3" x14ac:dyDescent="0.45">
      <c r="A391" s="5">
        <v>34486</v>
      </c>
      <c r="B391">
        <v>0</v>
      </c>
      <c r="C391" s="3">
        <f t="shared" si="6"/>
        <v>616.4</v>
      </c>
    </row>
    <row r="392" spans="1:3" x14ac:dyDescent="0.45">
      <c r="A392" s="5">
        <v>34516</v>
      </c>
      <c r="B392">
        <v>0</v>
      </c>
      <c r="C392" s="3">
        <f t="shared" si="6"/>
        <v>616.4</v>
      </c>
    </row>
    <row r="393" spans="1:3" x14ac:dyDescent="0.45">
      <c r="A393" s="5">
        <v>34547</v>
      </c>
      <c r="B393">
        <v>0</v>
      </c>
      <c r="C393" s="3">
        <f t="shared" si="6"/>
        <v>616.4</v>
      </c>
    </row>
    <row r="394" spans="1:3" x14ac:dyDescent="0.45">
      <c r="A394" s="5">
        <v>34578</v>
      </c>
      <c r="B394">
        <v>0</v>
      </c>
      <c r="C394" s="3">
        <f t="shared" si="6"/>
        <v>616.4</v>
      </c>
    </row>
    <row r="395" spans="1:3" x14ac:dyDescent="0.45">
      <c r="A395" s="5">
        <v>34608</v>
      </c>
      <c r="B395">
        <v>0</v>
      </c>
      <c r="C395" s="3">
        <f t="shared" si="6"/>
        <v>616.4</v>
      </c>
    </row>
    <row r="396" spans="1:3" x14ac:dyDescent="0.45">
      <c r="A396" s="5">
        <v>34639</v>
      </c>
      <c r="B396">
        <v>0</v>
      </c>
      <c r="C396" s="3">
        <f t="shared" si="6"/>
        <v>616.4</v>
      </c>
    </row>
    <row r="397" spans="1:3" x14ac:dyDescent="0.45">
      <c r="A397" s="5">
        <v>34669</v>
      </c>
      <c r="B397">
        <v>0</v>
      </c>
      <c r="C397" s="3">
        <f t="shared" si="6"/>
        <v>616.4</v>
      </c>
    </row>
    <row r="398" spans="1:3" x14ac:dyDescent="0.45">
      <c r="A398" s="5">
        <v>34700</v>
      </c>
      <c r="B398">
        <v>0</v>
      </c>
      <c r="C398" s="3">
        <f t="shared" si="6"/>
        <v>616.4</v>
      </c>
    </row>
    <row r="399" spans="1:3" x14ac:dyDescent="0.45">
      <c r="A399" s="5">
        <v>34731</v>
      </c>
      <c r="B399">
        <v>0.04</v>
      </c>
      <c r="C399" s="3">
        <f t="shared" si="6"/>
        <v>616.43999999999994</v>
      </c>
    </row>
    <row r="400" spans="1:3" x14ac:dyDescent="0.45">
      <c r="A400" s="5">
        <v>34759</v>
      </c>
      <c r="B400">
        <v>0.08</v>
      </c>
      <c r="C400" s="3">
        <f t="shared" si="6"/>
        <v>616.48</v>
      </c>
    </row>
    <row r="401" spans="1:3" x14ac:dyDescent="0.45">
      <c r="A401" s="5">
        <v>34790</v>
      </c>
      <c r="B401">
        <v>0.11</v>
      </c>
      <c r="C401" s="3">
        <f t="shared" si="6"/>
        <v>616.51</v>
      </c>
    </row>
    <row r="402" spans="1:3" x14ac:dyDescent="0.45">
      <c r="A402" s="5">
        <v>34820</v>
      </c>
      <c r="B402">
        <v>0.15</v>
      </c>
      <c r="C402" s="3">
        <f t="shared" si="6"/>
        <v>616.54999999999995</v>
      </c>
    </row>
    <row r="403" spans="1:3" x14ac:dyDescent="0.45">
      <c r="A403" s="5">
        <v>34851</v>
      </c>
      <c r="B403">
        <v>0.19</v>
      </c>
      <c r="C403" s="3">
        <f t="shared" si="6"/>
        <v>616.59</v>
      </c>
    </row>
    <row r="404" spans="1:3" x14ac:dyDescent="0.45">
      <c r="A404" s="5">
        <v>34881</v>
      </c>
      <c r="B404">
        <v>0.23</v>
      </c>
      <c r="C404" s="3">
        <f t="shared" si="6"/>
        <v>616.63</v>
      </c>
    </row>
    <row r="405" spans="1:3" x14ac:dyDescent="0.45">
      <c r="A405" s="5">
        <v>34912</v>
      </c>
      <c r="B405">
        <v>0.26</v>
      </c>
      <c r="C405" s="3">
        <f t="shared" si="6"/>
        <v>616.66</v>
      </c>
    </row>
    <row r="406" spans="1:3" x14ac:dyDescent="0.45">
      <c r="A406" s="5">
        <v>34943</v>
      </c>
      <c r="B406">
        <v>0.3</v>
      </c>
      <c r="C406" s="3">
        <f t="shared" si="6"/>
        <v>616.69999999999993</v>
      </c>
    </row>
    <row r="407" spans="1:3" x14ac:dyDescent="0.45">
      <c r="A407" s="5">
        <v>34973</v>
      </c>
      <c r="B407">
        <v>0.34</v>
      </c>
      <c r="C407" s="3">
        <f t="shared" si="6"/>
        <v>616.74</v>
      </c>
    </row>
    <row r="408" spans="1:3" x14ac:dyDescent="0.45">
      <c r="A408" s="5">
        <v>35004</v>
      </c>
      <c r="B408">
        <v>0.38</v>
      </c>
      <c r="C408" s="3">
        <f t="shared" si="6"/>
        <v>616.78</v>
      </c>
    </row>
    <row r="409" spans="1:3" x14ac:dyDescent="0.45">
      <c r="A409" s="5">
        <v>35034</v>
      </c>
      <c r="B409">
        <v>0.42</v>
      </c>
      <c r="C409" s="3">
        <f t="shared" si="6"/>
        <v>616.81999999999994</v>
      </c>
    </row>
    <row r="410" spans="1:3" x14ac:dyDescent="0.45">
      <c r="A410" s="5">
        <v>35065</v>
      </c>
      <c r="B410">
        <v>0.45</v>
      </c>
      <c r="C410" s="3">
        <f t="shared" si="6"/>
        <v>616.85</v>
      </c>
    </row>
    <row r="411" spans="1:3" x14ac:dyDescent="0.45">
      <c r="A411" s="5">
        <v>35096</v>
      </c>
      <c r="B411">
        <v>0.49</v>
      </c>
      <c r="C411" s="3">
        <f t="shared" si="6"/>
        <v>616.89</v>
      </c>
    </row>
    <row r="412" spans="1:3" x14ac:dyDescent="0.45">
      <c r="A412" s="5">
        <v>35125</v>
      </c>
      <c r="B412">
        <v>0.52</v>
      </c>
      <c r="C412" s="3">
        <f t="shared" si="6"/>
        <v>616.91999999999996</v>
      </c>
    </row>
    <row r="413" spans="1:3" x14ac:dyDescent="0.45">
      <c r="A413" s="5">
        <v>35156</v>
      </c>
      <c r="B413">
        <v>0.55000000000000004</v>
      </c>
      <c r="C413" s="3">
        <f t="shared" si="6"/>
        <v>616.94999999999993</v>
      </c>
    </row>
    <row r="414" spans="1:3" x14ac:dyDescent="0.45">
      <c r="A414" s="5">
        <v>35186</v>
      </c>
      <c r="B414">
        <v>0.57999999999999996</v>
      </c>
      <c r="C414" s="3">
        <f t="shared" si="6"/>
        <v>616.98</v>
      </c>
    </row>
    <row r="415" spans="1:3" x14ac:dyDescent="0.45">
      <c r="A415" s="5">
        <v>35217</v>
      </c>
      <c r="B415">
        <v>0.61</v>
      </c>
      <c r="C415" s="3">
        <f t="shared" si="6"/>
        <v>617.01</v>
      </c>
    </row>
    <row r="416" spans="1:3" x14ac:dyDescent="0.45">
      <c r="A416" s="5">
        <v>35247</v>
      </c>
      <c r="B416">
        <v>0.65</v>
      </c>
      <c r="C416" s="3">
        <f t="shared" si="6"/>
        <v>617.04999999999995</v>
      </c>
    </row>
    <row r="417" spans="1:3" x14ac:dyDescent="0.45">
      <c r="A417" s="5">
        <v>35278</v>
      </c>
      <c r="B417">
        <v>0.68</v>
      </c>
      <c r="C417" s="3">
        <f t="shared" si="6"/>
        <v>617.07999999999993</v>
      </c>
    </row>
    <row r="418" spans="1:3" x14ac:dyDescent="0.45">
      <c r="A418" s="5">
        <v>35309</v>
      </c>
      <c r="B418">
        <v>0.71</v>
      </c>
      <c r="C418" s="3">
        <f t="shared" si="6"/>
        <v>617.11</v>
      </c>
    </row>
    <row r="419" spans="1:3" x14ac:dyDescent="0.45">
      <c r="A419" s="5">
        <v>35339</v>
      </c>
      <c r="B419">
        <v>0.74</v>
      </c>
      <c r="C419" s="3">
        <f t="shared" si="6"/>
        <v>617.14</v>
      </c>
    </row>
    <row r="420" spans="1:3" x14ac:dyDescent="0.45">
      <c r="A420" s="5">
        <v>35370</v>
      </c>
      <c r="B420">
        <v>0.77</v>
      </c>
      <c r="C420" s="3">
        <f t="shared" si="6"/>
        <v>617.16999999999996</v>
      </c>
    </row>
    <row r="421" spans="1:3" x14ac:dyDescent="0.45">
      <c r="A421" s="5">
        <v>35400</v>
      </c>
      <c r="B421">
        <v>0.81</v>
      </c>
      <c r="C421" s="3">
        <f t="shared" si="6"/>
        <v>617.20999999999992</v>
      </c>
    </row>
    <row r="422" spans="1:3" x14ac:dyDescent="0.45">
      <c r="A422" s="5">
        <v>35431</v>
      </c>
      <c r="B422">
        <v>0.84</v>
      </c>
      <c r="C422" s="3">
        <f t="shared" si="6"/>
        <v>617.24</v>
      </c>
    </row>
    <row r="423" spans="1:3" x14ac:dyDescent="0.45">
      <c r="A423" s="5">
        <v>35462</v>
      </c>
      <c r="B423">
        <v>0.89</v>
      </c>
      <c r="C423" s="3">
        <f t="shared" si="6"/>
        <v>617.29</v>
      </c>
    </row>
    <row r="424" spans="1:3" x14ac:dyDescent="0.45">
      <c r="A424" s="5">
        <v>35490</v>
      </c>
      <c r="B424">
        <v>0.95</v>
      </c>
      <c r="C424" s="3">
        <f t="shared" si="6"/>
        <v>617.35</v>
      </c>
    </row>
    <row r="425" spans="1:3" x14ac:dyDescent="0.45">
      <c r="A425" s="5">
        <v>35521</v>
      </c>
      <c r="B425">
        <v>1.01</v>
      </c>
      <c r="C425" s="3">
        <f t="shared" si="6"/>
        <v>617.41</v>
      </c>
    </row>
    <row r="426" spans="1:3" x14ac:dyDescent="0.45">
      <c r="A426" s="5">
        <v>35551</v>
      </c>
      <c r="B426">
        <v>1.06</v>
      </c>
      <c r="C426" s="3">
        <f t="shared" si="6"/>
        <v>617.45999999999992</v>
      </c>
    </row>
    <row r="427" spans="1:3" x14ac:dyDescent="0.45">
      <c r="A427" s="5">
        <v>35582</v>
      </c>
      <c r="B427">
        <v>1.1200000000000001</v>
      </c>
      <c r="C427" s="3">
        <f t="shared" si="6"/>
        <v>617.52</v>
      </c>
    </row>
    <row r="428" spans="1:3" x14ac:dyDescent="0.45">
      <c r="A428" s="5">
        <v>35612</v>
      </c>
      <c r="B428">
        <v>1.17</v>
      </c>
      <c r="C428" s="3">
        <f t="shared" si="6"/>
        <v>617.56999999999994</v>
      </c>
    </row>
    <row r="429" spans="1:3" x14ac:dyDescent="0.45">
      <c r="A429" s="5">
        <v>35643</v>
      </c>
      <c r="B429">
        <v>1.23</v>
      </c>
      <c r="C429" s="3">
        <f t="shared" si="6"/>
        <v>617.63</v>
      </c>
    </row>
    <row r="430" spans="1:3" x14ac:dyDescent="0.45">
      <c r="A430" s="5">
        <v>35674</v>
      </c>
      <c r="B430">
        <v>1.28</v>
      </c>
      <c r="C430" s="3">
        <f t="shared" si="6"/>
        <v>617.67999999999995</v>
      </c>
    </row>
    <row r="431" spans="1:3" x14ac:dyDescent="0.45">
      <c r="A431" s="5">
        <v>35704</v>
      </c>
      <c r="B431">
        <v>1.34</v>
      </c>
      <c r="C431" s="3">
        <f t="shared" si="6"/>
        <v>617.74</v>
      </c>
    </row>
    <row r="432" spans="1:3" x14ac:dyDescent="0.45">
      <c r="A432" s="5">
        <v>35735</v>
      </c>
      <c r="B432">
        <v>1.39</v>
      </c>
      <c r="C432" s="3">
        <f t="shared" si="6"/>
        <v>617.79</v>
      </c>
    </row>
    <row r="433" spans="1:3" x14ac:dyDescent="0.45">
      <c r="A433" s="5">
        <v>35765</v>
      </c>
      <c r="B433">
        <v>1.45</v>
      </c>
      <c r="C433" s="3">
        <f t="shared" si="6"/>
        <v>617.85</v>
      </c>
    </row>
    <row r="434" spans="1:3" x14ac:dyDescent="0.45">
      <c r="A434" s="5">
        <v>35796</v>
      </c>
      <c r="B434">
        <v>1.51</v>
      </c>
      <c r="C434" s="3">
        <f t="shared" si="6"/>
        <v>617.91</v>
      </c>
    </row>
    <row r="435" spans="1:3" x14ac:dyDescent="0.45">
      <c r="A435" s="5">
        <v>35827</v>
      </c>
      <c r="B435">
        <v>1.48</v>
      </c>
      <c r="C435" s="3">
        <f t="shared" si="6"/>
        <v>617.88</v>
      </c>
    </row>
    <row r="436" spans="1:3" x14ac:dyDescent="0.45">
      <c r="A436" s="5">
        <v>35855</v>
      </c>
      <c r="B436">
        <v>1.46</v>
      </c>
      <c r="C436" s="3">
        <f t="shared" si="6"/>
        <v>617.86</v>
      </c>
    </row>
    <row r="437" spans="1:3" x14ac:dyDescent="0.45">
      <c r="A437" s="5">
        <v>35886</v>
      </c>
      <c r="B437">
        <v>1.43</v>
      </c>
      <c r="C437" s="3">
        <f t="shared" si="6"/>
        <v>617.82999999999993</v>
      </c>
    </row>
    <row r="438" spans="1:3" x14ac:dyDescent="0.45">
      <c r="A438" s="5">
        <v>35916</v>
      </c>
      <c r="B438">
        <v>1.4</v>
      </c>
      <c r="C438" s="3">
        <f t="shared" si="6"/>
        <v>617.79999999999995</v>
      </c>
    </row>
    <row r="439" spans="1:3" x14ac:dyDescent="0.45">
      <c r="A439" s="5">
        <v>35947</v>
      </c>
      <c r="B439">
        <v>1.38</v>
      </c>
      <c r="C439" s="3">
        <f t="shared" si="6"/>
        <v>617.78</v>
      </c>
    </row>
    <row r="440" spans="1:3" x14ac:dyDescent="0.45">
      <c r="A440" s="5">
        <v>35977</v>
      </c>
      <c r="B440">
        <v>1.35</v>
      </c>
      <c r="C440" s="3">
        <f t="shared" si="6"/>
        <v>617.75</v>
      </c>
    </row>
    <row r="441" spans="1:3" x14ac:dyDescent="0.45">
      <c r="A441" s="5">
        <v>36008</v>
      </c>
      <c r="B441">
        <v>1.33</v>
      </c>
      <c r="C441" s="3">
        <f t="shared" si="6"/>
        <v>617.73</v>
      </c>
    </row>
    <row r="442" spans="1:3" x14ac:dyDescent="0.45">
      <c r="A442" s="5">
        <v>36039</v>
      </c>
      <c r="B442">
        <v>1.3</v>
      </c>
      <c r="C442" s="3">
        <f t="shared" si="6"/>
        <v>617.69999999999993</v>
      </c>
    </row>
    <row r="443" spans="1:3" x14ac:dyDescent="0.45">
      <c r="A443" s="5">
        <v>36069</v>
      </c>
      <c r="B443">
        <v>1.28</v>
      </c>
      <c r="C443" s="3">
        <f t="shared" si="6"/>
        <v>617.67999999999995</v>
      </c>
    </row>
    <row r="444" spans="1:3" x14ac:dyDescent="0.45">
      <c r="A444" s="5">
        <v>36100</v>
      </c>
      <c r="B444">
        <v>1.25</v>
      </c>
      <c r="C444" s="3">
        <f t="shared" si="6"/>
        <v>617.65</v>
      </c>
    </row>
    <row r="445" spans="1:3" x14ac:dyDescent="0.45">
      <c r="A445" s="5">
        <v>36130</v>
      </c>
      <c r="B445">
        <v>1.23</v>
      </c>
      <c r="C445" s="3">
        <f t="shared" si="6"/>
        <v>617.63</v>
      </c>
    </row>
    <row r="446" spans="1:3" x14ac:dyDescent="0.45">
      <c r="A446" s="5">
        <v>36161</v>
      </c>
      <c r="B446">
        <v>1.2</v>
      </c>
      <c r="C446" s="3">
        <f>616.4+B446</f>
        <v>617.6</v>
      </c>
    </row>
    <row r="447" spans="1:3" x14ac:dyDescent="0.45">
      <c r="A447" s="5">
        <v>36192</v>
      </c>
    </row>
    <row r="448" spans="1:3" x14ac:dyDescent="0.45">
      <c r="A448" s="5">
        <v>36220</v>
      </c>
    </row>
    <row r="449" spans="1:1" x14ac:dyDescent="0.45">
      <c r="A449" s="5">
        <v>36251</v>
      </c>
    </row>
    <row r="450" spans="1:1" x14ac:dyDescent="0.45">
      <c r="A450" s="5">
        <v>36281</v>
      </c>
    </row>
    <row r="451" spans="1:1" x14ac:dyDescent="0.45">
      <c r="A451" s="5">
        <v>36312</v>
      </c>
    </row>
    <row r="452" spans="1:1" x14ac:dyDescent="0.45">
      <c r="A452" s="5">
        <v>36342</v>
      </c>
    </row>
    <row r="453" spans="1:1" x14ac:dyDescent="0.45">
      <c r="A453" s="5">
        <v>36373</v>
      </c>
    </row>
    <row r="454" spans="1:1" x14ac:dyDescent="0.45">
      <c r="A454" s="5">
        <v>36404</v>
      </c>
    </row>
    <row r="455" spans="1:1" x14ac:dyDescent="0.45">
      <c r="A455" s="5">
        <v>36434</v>
      </c>
    </row>
    <row r="456" spans="1:1" x14ac:dyDescent="0.45">
      <c r="A456" s="5">
        <v>36465</v>
      </c>
    </row>
    <row r="457" spans="1:1" x14ac:dyDescent="0.45">
      <c r="A457" s="5">
        <v>36495</v>
      </c>
    </row>
    <row r="458" spans="1:1" x14ac:dyDescent="0.45">
      <c r="A458" s="5">
        <v>36526</v>
      </c>
    </row>
    <row r="459" spans="1:1" x14ac:dyDescent="0.45">
      <c r="A459" s="5">
        <v>36557</v>
      </c>
    </row>
    <row r="460" spans="1:1" x14ac:dyDescent="0.45">
      <c r="A460" s="5">
        <v>36586</v>
      </c>
    </row>
    <row r="461" spans="1:1" x14ac:dyDescent="0.45">
      <c r="A461" s="5">
        <v>36617</v>
      </c>
    </row>
    <row r="462" spans="1:1" x14ac:dyDescent="0.45">
      <c r="A462" s="5">
        <v>36647</v>
      </c>
    </row>
    <row r="463" spans="1:1" x14ac:dyDescent="0.45">
      <c r="A463" s="5">
        <v>36678</v>
      </c>
    </row>
    <row r="464" spans="1:1" x14ac:dyDescent="0.45">
      <c r="A464" s="5">
        <v>36708</v>
      </c>
    </row>
    <row r="465" spans="1:1" x14ac:dyDescent="0.45">
      <c r="A465" s="5">
        <v>36739</v>
      </c>
    </row>
    <row r="466" spans="1:1" x14ac:dyDescent="0.45">
      <c r="A466" s="5">
        <v>36770</v>
      </c>
    </row>
    <row r="467" spans="1:1" x14ac:dyDescent="0.45">
      <c r="A467" s="5">
        <v>36800</v>
      </c>
    </row>
    <row r="468" spans="1:1" x14ac:dyDescent="0.45">
      <c r="A468" s="5">
        <v>36831</v>
      </c>
    </row>
    <row r="469" spans="1:1" x14ac:dyDescent="0.45">
      <c r="A469" s="5">
        <v>36861</v>
      </c>
    </row>
    <row r="470" spans="1:1" x14ac:dyDescent="0.45">
      <c r="A470" s="5">
        <v>36892</v>
      </c>
    </row>
    <row r="471" spans="1:1" x14ac:dyDescent="0.45">
      <c r="A471" s="5">
        <v>36923</v>
      </c>
    </row>
    <row r="472" spans="1:1" x14ac:dyDescent="0.45">
      <c r="A472" s="5">
        <v>36951</v>
      </c>
    </row>
    <row r="473" spans="1:1" x14ac:dyDescent="0.45">
      <c r="A473" s="5">
        <v>36982</v>
      </c>
    </row>
    <row r="474" spans="1:1" x14ac:dyDescent="0.45">
      <c r="A474" s="5">
        <v>37012</v>
      </c>
    </row>
    <row r="475" spans="1:1" x14ac:dyDescent="0.45">
      <c r="A475" s="5">
        <v>37043</v>
      </c>
    </row>
    <row r="476" spans="1:1" x14ac:dyDescent="0.45">
      <c r="A476" s="5">
        <v>37073</v>
      </c>
    </row>
    <row r="477" spans="1:1" x14ac:dyDescent="0.45">
      <c r="A477" s="5">
        <v>37104</v>
      </c>
    </row>
    <row r="478" spans="1:1" x14ac:dyDescent="0.45">
      <c r="A478" s="5">
        <v>37135</v>
      </c>
    </row>
    <row r="479" spans="1:1" x14ac:dyDescent="0.45">
      <c r="A479" s="5">
        <v>37165</v>
      </c>
    </row>
    <row r="480" spans="1:1" x14ac:dyDescent="0.45">
      <c r="A480" s="5">
        <v>37196</v>
      </c>
    </row>
    <row r="481" spans="1:1" x14ac:dyDescent="0.45">
      <c r="A481" s="5">
        <v>37226</v>
      </c>
    </row>
    <row r="482" spans="1:1" x14ac:dyDescent="0.45">
      <c r="A482" s="5">
        <v>37257</v>
      </c>
    </row>
    <row r="483" spans="1:1" x14ac:dyDescent="0.45">
      <c r="A483" s="5">
        <v>37288</v>
      </c>
    </row>
    <row r="484" spans="1:1" x14ac:dyDescent="0.45">
      <c r="A484" s="5">
        <v>37316</v>
      </c>
    </row>
    <row r="485" spans="1:1" x14ac:dyDescent="0.45">
      <c r="A485" s="5">
        <v>37347</v>
      </c>
    </row>
    <row r="486" spans="1:1" x14ac:dyDescent="0.45">
      <c r="A486" s="5">
        <v>37377</v>
      </c>
    </row>
    <row r="487" spans="1:1" x14ac:dyDescent="0.45">
      <c r="A487" s="5">
        <v>37408</v>
      </c>
    </row>
    <row r="488" spans="1:1" x14ac:dyDescent="0.45">
      <c r="A488" s="5">
        <v>37438</v>
      </c>
    </row>
    <row r="489" spans="1:1" x14ac:dyDescent="0.45">
      <c r="A489" s="5">
        <v>37469</v>
      </c>
    </row>
    <row r="490" spans="1:1" x14ac:dyDescent="0.45">
      <c r="A490" s="5">
        <v>37500</v>
      </c>
    </row>
    <row r="491" spans="1:1" x14ac:dyDescent="0.45">
      <c r="A491" s="5">
        <v>37530</v>
      </c>
    </row>
    <row r="492" spans="1:1" x14ac:dyDescent="0.45">
      <c r="A492" s="5">
        <v>37561</v>
      </c>
    </row>
    <row r="493" spans="1:1" x14ac:dyDescent="0.45">
      <c r="A493" s="5">
        <v>37591</v>
      </c>
    </row>
    <row r="494" spans="1:1" x14ac:dyDescent="0.45">
      <c r="A494" s="5">
        <v>37622</v>
      </c>
    </row>
    <row r="495" spans="1:1" x14ac:dyDescent="0.45">
      <c r="A495" s="5">
        <v>37653</v>
      </c>
    </row>
    <row r="496" spans="1:1" x14ac:dyDescent="0.45">
      <c r="A496" s="5">
        <v>37681</v>
      </c>
    </row>
    <row r="497" spans="1:1" x14ac:dyDescent="0.45">
      <c r="A497" s="5">
        <v>37712</v>
      </c>
    </row>
    <row r="498" spans="1:1" x14ac:dyDescent="0.45">
      <c r="A498" s="5">
        <v>37742</v>
      </c>
    </row>
    <row r="499" spans="1:1" x14ac:dyDescent="0.45">
      <c r="A499" s="5">
        <v>37773</v>
      </c>
    </row>
    <row r="500" spans="1:1" x14ac:dyDescent="0.45">
      <c r="A500" s="5">
        <v>37803</v>
      </c>
    </row>
    <row r="501" spans="1:1" x14ac:dyDescent="0.45">
      <c r="A501" s="5">
        <v>37834</v>
      </c>
    </row>
    <row r="502" spans="1:1" x14ac:dyDescent="0.45">
      <c r="A502" s="5">
        <v>37865</v>
      </c>
    </row>
    <row r="503" spans="1:1" x14ac:dyDescent="0.45">
      <c r="A503" s="5">
        <v>37895</v>
      </c>
    </row>
    <row r="504" spans="1:1" x14ac:dyDescent="0.45">
      <c r="A504" s="5">
        <v>37926</v>
      </c>
    </row>
    <row r="505" spans="1:1" x14ac:dyDescent="0.45">
      <c r="A505" s="5">
        <v>37956</v>
      </c>
    </row>
    <row r="506" spans="1:1" x14ac:dyDescent="0.45">
      <c r="A506" s="5">
        <v>37987</v>
      </c>
    </row>
    <row r="507" spans="1:1" x14ac:dyDescent="0.45">
      <c r="A507" s="5">
        <v>38018</v>
      </c>
    </row>
    <row r="508" spans="1:1" x14ac:dyDescent="0.45">
      <c r="A508" s="5">
        <v>38047</v>
      </c>
    </row>
    <row r="509" spans="1:1" x14ac:dyDescent="0.45">
      <c r="A509" s="5">
        <v>38078</v>
      </c>
    </row>
    <row r="510" spans="1:1" x14ac:dyDescent="0.45">
      <c r="A510" s="5">
        <v>38108</v>
      </c>
    </row>
    <row r="511" spans="1:1" x14ac:dyDescent="0.45">
      <c r="A511" s="5">
        <v>38139</v>
      </c>
    </row>
    <row r="512" spans="1:1" x14ac:dyDescent="0.45">
      <c r="A512" s="5">
        <v>38169</v>
      </c>
    </row>
    <row r="513" spans="1:1" x14ac:dyDescent="0.45">
      <c r="A513" s="5">
        <v>38200</v>
      </c>
    </row>
    <row r="514" spans="1:1" x14ac:dyDescent="0.45">
      <c r="A514" s="5">
        <v>38231</v>
      </c>
    </row>
    <row r="515" spans="1:1" x14ac:dyDescent="0.45">
      <c r="A515" s="5">
        <v>38261</v>
      </c>
    </row>
    <row r="516" spans="1:1" x14ac:dyDescent="0.45">
      <c r="A516" s="5">
        <v>38292</v>
      </c>
    </row>
    <row r="517" spans="1:1" x14ac:dyDescent="0.45">
      <c r="A517" s="5">
        <v>38322</v>
      </c>
    </row>
    <row r="518" spans="1:1" x14ac:dyDescent="0.45">
      <c r="A518" s="5">
        <v>38353</v>
      </c>
    </row>
    <row r="519" spans="1:1" x14ac:dyDescent="0.45">
      <c r="A519" s="5">
        <v>38384</v>
      </c>
    </row>
    <row r="520" spans="1:1" x14ac:dyDescent="0.45">
      <c r="A520" s="5">
        <v>38412</v>
      </c>
    </row>
    <row r="521" spans="1:1" x14ac:dyDescent="0.45">
      <c r="A521" s="5">
        <v>38443</v>
      </c>
    </row>
    <row r="522" spans="1:1" x14ac:dyDescent="0.45">
      <c r="A522" s="5">
        <v>38473</v>
      </c>
    </row>
    <row r="523" spans="1:1" x14ac:dyDescent="0.45">
      <c r="A523" s="5">
        <v>38504</v>
      </c>
    </row>
    <row r="524" spans="1:1" x14ac:dyDescent="0.45">
      <c r="A524" s="5">
        <v>38534</v>
      </c>
    </row>
    <row r="525" spans="1:1" x14ac:dyDescent="0.45">
      <c r="A525" s="5">
        <v>38565</v>
      </c>
    </row>
    <row r="526" spans="1:1" x14ac:dyDescent="0.45">
      <c r="A526" s="5">
        <v>38596</v>
      </c>
    </row>
    <row r="527" spans="1:1" x14ac:dyDescent="0.45">
      <c r="A527" s="5">
        <v>38626</v>
      </c>
    </row>
    <row r="528" spans="1:1" x14ac:dyDescent="0.45">
      <c r="A528" s="5">
        <v>38657</v>
      </c>
    </row>
    <row r="529" spans="1:1" x14ac:dyDescent="0.45">
      <c r="A529" s="5">
        <v>38687</v>
      </c>
    </row>
    <row r="530" spans="1:1" x14ac:dyDescent="0.45">
      <c r="A530" s="5">
        <v>38718</v>
      </c>
    </row>
    <row r="531" spans="1:1" x14ac:dyDescent="0.45">
      <c r="A531" s="5">
        <v>38749</v>
      </c>
    </row>
    <row r="532" spans="1:1" x14ac:dyDescent="0.45">
      <c r="A532" s="5">
        <v>38777</v>
      </c>
    </row>
    <row r="533" spans="1:1" x14ac:dyDescent="0.45">
      <c r="A533" s="5">
        <v>38808</v>
      </c>
    </row>
    <row r="534" spans="1:1" x14ac:dyDescent="0.45">
      <c r="A534" s="5">
        <v>38838</v>
      </c>
    </row>
    <row r="535" spans="1:1" x14ac:dyDescent="0.45">
      <c r="A535" s="5">
        <v>38869</v>
      </c>
    </row>
    <row r="536" spans="1:1" x14ac:dyDescent="0.45">
      <c r="A536" s="5">
        <v>38899</v>
      </c>
    </row>
    <row r="537" spans="1:1" x14ac:dyDescent="0.45">
      <c r="A537" s="5">
        <v>38930</v>
      </c>
    </row>
    <row r="538" spans="1:1" x14ac:dyDescent="0.45">
      <c r="A538" s="5">
        <v>38961</v>
      </c>
    </row>
    <row r="539" spans="1:1" x14ac:dyDescent="0.45">
      <c r="A539" s="5">
        <v>38991</v>
      </c>
    </row>
    <row r="540" spans="1:1" x14ac:dyDescent="0.45">
      <c r="A540" s="5">
        <v>39022</v>
      </c>
    </row>
    <row r="541" spans="1:1" x14ac:dyDescent="0.45">
      <c r="A541" s="5">
        <v>39052</v>
      </c>
    </row>
    <row r="542" spans="1:1" x14ac:dyDescent="0.45">
      <c r="A542" s="5">
        <v>39083</v>
      </c>
    </row>
    <row r="543" spans="1:1" x14ac:dyDescent="0.45">
      <c r="A543" s="5">
        <v>39114</v>
      </c>
    </row>
    <row r="544" spans="1:1" x14ac:dyDescent="0.45">
      <c r="A544" s="5">
        <v>39142</v>
      </c>
    </row>
    <row r="545" spans="1:1" x14ac:dyDescent="0.45">
      <c r="A545" s="5">
        <v>39173</v>
      </c>
    </row>
    <row r="546" spans="1:1" x14ac:dyDescent="0.45">
      <c r="A546" s="5">
        <v>39203</v>
      </c>
    </row>
    <row r="547" spans="1:1" x14ac:dyDescent="0.45">
      <c r="A547" s="5">
        <v>39234</v>
      </c>
    </row>
    <row r="548" spans="1:1" x14ac:dyDescent="0.45">
      <c r="A548" s="5">
        <v>39264</v>
      </c>
    </row>
    <row r="549" spans="1:1" x14ac:dyDescent="0.45">
      <c r="A549" s="5">
        <v>39295</v>
      </c>
    </row>
    <row r="550" spans="1:1" x14ac:dyDescent="0.45">
      <c r="A550" s="5">
        <v>39326</v>
      </c>
    </row>
    <row r="551" spans="1:1" x14ac:dyDescent="0.45">
      <c r="A551" s="5">
        <v>39356</v>
      </c>
    </row>
    <row r="552" spans="1:1" x14ac:dyDescent="0.45">
      <c r="A552" s="5">
        <v>39387</v>
      </c>
    </row>
    <row r="553" spans="1:1" x14ac:dyDescent="0.45">
      <c r="A553" s="5">
        <v>39417</v>
      </c>
    </row>
    <row r="554" spans="1:1" x14ac:dyDescent="0.45">
      <c r="A554" s="5">
        <v>39448</v>
      </c>
    </row>
    <row r="555" spans="1:1" x14ac:dyDescent="0.45">
      <c r="A555" s="5">
        <v>39479</v>
      </c>
    </row>
    <row r="556" spans="1:1" x14ac:dyDescent="0.45">
      <c r="A556" s="5">
        <v>39508</v>
      </c>
    </row>
    <row r="557" spans="1:1" x14ac:dyDescent="0.45">
      <c r="A557" s="5">
        <v>39539</v>
      </c>
    </row>
    <row r="558" spans="1:1" x14ac:dyDescent="0.45">
      <c r="A558" s="5">
        <v>39569</v>
      </c>
    </row>
    <row r="559" spans="1:1" x14ac:dyDescent="0.45">
      <c r="A559" s="5">
        <v>39600</v>
      </c>
    </row>
    <row r="560" spans="1:1" x14ac:dyDescent="0.45">
      <c r="A560" s="5">
        <v>39630</v>
      </c>
    </row>
    <row r="561" spans="1:1" x14ac:dyDescent="0.45">
      <c r="A561" s="5">
        <v>39661</v>
      </c>
    </row>
    <row r="562" spans="1:1" x14ac:dyDescent="0.45">
      <c r="A562" s="5">
        <v>39692</v>
      </c>
    </row>
    <row r="563" spans="1:1" x14ac:dyDescent="0.45">
      <c r="A563" s="5">
        <v>39722</v>
      </c>
    </row>
    <row r="564" spans="1:1" x14ac:dyDescent="0.45">
      <c r="A564" s="5">
        <v>39753</v>
      </c>
    </row>
    <row r="565" spans="1:1" x14ac:dyDescent="0.45">
      <c r="A565" s="5">
        <v>39783</v>
      </c>
    </row>
    <row r="566" spans="1:1" x14ac:dyDescent="0.45">
      <c r="A566" s="5">
        <v>39814</v>
      </c>
    </row>
    <row r="567" spans="1:1" x14ac:dyDescent="0.45">
      <c r="A567" s="5">
        <v>39845</v>
      </c>
    </row>
    <row r="568" spans="1:1" x14ac:dyDescent="0.45">
      <c r="A568" s="5">
        <v>39873</v>
      </c>
    </row>
    <row r="569" spans="1:1" x14ac:dyDescent="0.45">
      <c r="A569" s="5">
        <v>39904</v>
      </c>
    </row>
    <row r="570" spans="1:1" x14ac:dyDescent="0.45">
      <c r="A570" s="5">
        <v>39934</v>
      </c>
    </row>
    <row r="571" spans="1:1" x14ac:dyDescent="0.45">
      <c r="A571" s="5">
        <v>39965</v>
      </c>
    </row>
    <row r="572" spans="1:1" x14ac:dyDescent="0.45">
      <c r="A572" s="5">
        <v>39995</v>
      </c>
    </row>
    <row r="573" spans="1:1" x14ac:dyDescent="0.45">
      <c r="A573" s="5">
        <v>40026</v>
      </c>
    </row>
    <row r="574" spans="1:1" x14ac:dyDescent="0.45">
      <c r="A574" s="5">
        <v>40057</v>
      </c>
    </row>
    <row r="575" spans="1:1" x14ac:dyDescent="0.45">
      <c r="A575" s="5">
        <v>40087</v>
      </c>
    </row>
    <row r="576" spans="1:1" x14ac:dyDescent="0.45">
      <c r="A576" s="5">
        <v>40118</v>
      </c>
    </row>
    <row r="577" spans="1:3" x14ac:dyDescent="0.45">
      <c r="A577" s="5">
        <v>40148</v>
      </c>
    </row>
    <row r="578" spans="1:3" x14ac:dyDescent="0.45">
      <c r="A578" s="5">
        <v>40179</v>
      </c>
    </row>
    <row r="579" spans="1:3" x14ac:dyDescent="0.45">
      <c r="A579" s="5">
        <v>40210</v>
      </c>
    </row>
    <row r="580" spans="1:3" x14ac:dyDescent="0.45">
      <c r="A580" s="5">
        <v>40238</v>
      </c>
    </row>
    <row r="581" spans="1:3" x14ac:dyDescent="0.45">
      <c r="A581" s="5">
        <v>40269</v>
      </c>
    </row>
    <row r="582" spans="1:3" x14ac:dyDescent="0.45">
      <c r="A582" s="5">
        <v>40299</v>
      </c>
    </row>
    <row r="583" spans="1:3" x14ac:dyDescent="0.45">
      <c r="A583" s="5">
        <v>40330</v>
      </c>
    </row>
    <row r="584" spans="1:3" x14ac:dyDescent="0.45">
      <c r="A584" s="5">
        <v>40360</v>
      </c>
    </row>
    <row r="585" spans="1:3" x14ac:dyDescent="0.45">
      <c r="A585" s="5">
        <v>40391</v>
      </c>
    </row>
    <row r="586" spans="1:3" x14ac:dyDescent="0.45">
      <c r="A586" s="5">
        <v>40422</v>
      </c>
    </row>
    <row r="587" spans="1:3" x14ac:dyDescent="0.45">
      <c r="A587" s="5">
        <v>40452</v>
      </c>
    </row>
    <row r="588" spans="1:3" x14ac:dyDescent="0.45">
      <c r="A588" s="5">
        <v>40483</v>
      </c>
    </row>
    <row r="589" spans="1:3" x14ac:dyDescent="0.45">
      <c r="A589" s="5">
        <v>40513</v>
      </c>
    </row>
    <row r="590" spans="1:3" x14ac:dyDescent="0.45">
      <c r="A590" s="5">
        <v>40544</v>
      </c>
      <c r="B590">
        <v>1.5</v>
      </c>
      <c r="C590" s="3">
        <f>616.4+B590</f>
        <v>617.9</v>
      </c>
    </row>
    <row r="591" spans="1:3" x14ac:dyDescent="0.45">
      <c r="A591" s="5">
        <v>40575</v>
      </c>
      <c r="B591">
        <v>1.47</v>
      </c>
      <c r="C591" s="3">
        <f t="shared" ref="C591:C654" si="7">616.4+B591</f>
        <v>617.87</v>
      </c>
    </row>
    <row r="592" spans="1:3" x14ac:dyDescent="0.45">
      <c r="A592" s="5">
        <v>40603</v>
      </c>
      <c r="B592">
        <v>1.66</v>
      </c>
      <c r="C592" s="3">
        <f t="shared" si="7"/>
        <v>618.05999999999995</v>
      </c>
    </row>
    <row r="593" spans="1:3" x14ac:dyDescent="0.45">
      <c r="A593" s="5">
        <v>40634</v>
      </c>
      <c r="B593">
        <v>1.78</v>
      </c>
      <c r="C593" s="3">
        <f t="shared" si="7"/>
        <v>618.17999999999995</v>
      </c>
    </row>
    <row r="594" spans="1:3" x14ac:dyDescent="0.45">
      <c r="A594" s="5">
        <v>40664</v>
      </c>
      <c r="B594">
        <v>1.68</v>
      </c>
      <c r="C594" s="3">
        <f t="shared" si="7"/>
        <v>618.07999999999993</v>
      </c>
    </row>
    <row r="595" spans="1:3" x14ac:dyDescent="0.45">
      <c r="A595" s="5">
        <v>40695</v>
      </c>
      <c r="B595">
        <v>1.54</v>
      </c>
      <c r="C595" s="3">
        <f t="shared" si="7"/>
        <v>617.93999999999994</v>
      </c>
    </row>
    <row r="596" spans="1:3" x14ac:dyDescent="0.45">
      <c r="A596" s="5">
        <v>40725</v>
      </c>
      <c r="B596">
        <v>1.41</v>
      </c>
      <c r="C596" s="3">
        <f t="shared" si="7"/>
        <v>617.80999999999995</v>
      </c>
    </row>
    <row r="597" spans="1:3" x14ac:dyDescent="0.45">
      <c r="A597" s="5">
        <v>40756</v>
      </c>
      <c r="B597">
        <v>1.33</v>
      </c>
      <c r="C597" s="3">
        <f t="shared" si="7"/>
        <v>617.73</v>
      </c>
    </row>
    <row r="598" spans="1:3" x14ac:dyDescent="0.45">
      <c r="A598" s="5">
        <v>40787</v>
      </c>
      <c r="B598">
        <v>1.05</v>
      </c>
      <c r="C598" s="3">
        <f t="shared" si="7"/>
        <v>617.44999999999993</v>
      </c>
    </row>
    <row r="599" spans="1:3" x14ac:dyDescent="0.45">
      <c r="A599" s="5">
        <v>40817</v>
      </c>
      <c r="B599">
        <v>0.56999999999999995</v>
      </c>
      <c r="C599" s="3">
        <f t="shared" si="7"/>
        <v>616.97</v>
      </c>
    </row>
    <row r="600" spans="1:3" x14ac:dyDescent="0.45">
      <c r="A600" s="5">
        <v>40848</v>
      </c>
      <c r="B600">
        <v>0.49</v>
      </c>
      <c r="C600" s="3">
        <f t="shared" si="7"/>
        <v>616.89</v>
      </c>
    </row>
    <row r="601" spans="1:3" x14ac:dyDescent="0.45">
      <c r="A601" s="5">
        <v>40878</v>
      </c>
      <c r="B601">
        <v>0.9</v>
      </c>
      <c r="C601" s="3">
        <f t="shared" si="7"/>
        <v>617.29999999999995</v>
      </c>
    </row>
    <row r="602" spans="1:3" x14ac:dyDescent="0.45">
      <c r="A602" s="5">
        <v>40909</v>
      </c>
      <c r="B602">
        <v>0.84</v>
      </c>
      <c r="C602" s="3">
        <f t="shared" si="7"/>
        <v>617.24</v>
      </c>
    </row>
    <row r="603" spans="1:3" x14ac:dyDescent="0.45">
      <c r="A603" s="5">
        <v>40940</v>
      </c>
      <c r="B603">
        <v>0.87</v>
      </c>
      <c r="C603" s="3">
        <f t="shared" si="7"/>
        <v>617.27</v>
      </c>
    </row>
    <row r="604" spans="1:3" x14ac:dyDescent="0.45">
      <c r="A604" s="5">
        <v>40969</v>
      </c>
      <c r="B604">
        <v>0.9</v>
      </c>
      <c r="C604" s="3">
        <f t="shared" si="7"/>
        <v>617.29999999999995</v>
      </c>
    </row>
    <row r="605" spans="1:3" x14ac:dyDescent="0.45">
      <c r="A605" s="5">
        <v>41000</v>
      </c>
      <c r="B605">
        <v>1.35</v>
      </c>
      <c r="C605" s="3">
        <f t="shared" si="7"/>
        <v>617.75</v>
      </c>
    </row>
    <row r="606" spans="1:3" x14ac:dyDescent="0.45">
      <c r="A606" s="5">
        <v>41030</v>
      </c>
      <c r="B606">
        <v>0.73</v>
      </c>
      <c r="C606" s="3">
        <f t="shared" si="7"/>
        <v>617.13</v>
      </c>
    </row>
    <row r="607" spans="1:3" x14ac:dyDescent="0.45">
      <c r="A607" s="5">
        <v>41061</v>
      </c>
      <c r="B607">
        <v>0.7</v>
      </c>
      <c r="C607" s="3">
        <f t="shared" si="7"/>
        <v>617.1</v>
      </c>
    </row>
    <row r="608" spans="1:3" x14ac:dyDescent="0.45">
      <c r="A608" s="5">
        <v>41091</v>
      </c>
      <c r="B608">
        <v>0.47</v>
      </c>
      <c r="C608" s="3">
        <f t="shared" si="7"/>
        <v>616.87</v>
      </c>
    </row>
    <row r="609" spans="1:3" x14ac:dyDescent="0.45">
      <c r="A609" s="5">
        <v>41122</v>
      </c>
      <c r="B609">
        <v>0.33</v>
      </c>
      <c r="C609" s="3">
        <f t="shared" si="7"/>
        <v>616.73</v>
      </c>
    </row>
    <row r="610" spans="1:3" x14ac:dyDescent="0.45">
      <c r="A610" s="5">
        <v>41153</v>
      </c>
      <c r="B610">
        <v>0.34</v>
      </c>
      <c r="C610" s="3">
        <f t="shared" si="7"/>
        <v>616.74</v>
      </c>
    </row>
    <row r="611" spans="1:3" x14ac:dyDescent="0.45">
      <c r="A611" s="5">
        <v>41183</v>
      </c>
      <c r="B611">
        <v>0.17</v>
      </c>
      <c r="C611" s="3">
        <f t="shared" si="7"/>
        <v>616.56999999999994</v>
      </c>
    </row>
    <row r="612" spans="1:3" x14ac:dyDescent="0.45">
      <c r="A612" s="5">
        <v>41214</v>
      </c>
      <c r="B612">
        <v>0.09</v>
      </c>
      <c r="C612" s="3">
        <f t="shared" si="7"/>
        <v>616.49</v>
      </c>
    </row>
    <row r="613" spans="1:3" x14ac:dyDescent="0.45">
      <c r="A613" s="5">
        <v>41244</v>
      </c>
      <c r="B613">
        <v>0.01</v>
      </c>
      <c r="C613" s="3">
        <f t="shared" si="7"/>
        <v>616.41</v>
      </c>
    </row>
    <row r="614" spans="1:3" x14ac:dyDescent="0.45">
      <c r="A614" s="5">
        <v>41275</v>
      </c>
      <c r="B614">
        <v>0.57999999999999996</v>
      </c>
      <c r="C614" s="3">
        <f t="shared" si="7"/>
        <v>616.98</v>
      </c>
    </row>
    <row r="615" spans="1:3" x14ac:dyDescent="0.45">
      <c r="A615" s="5">
        <v>41306</v>
      </c>
      <c r="B615">
        <v>1.32</v>
      </c>
      <c r="C615" s="3">
        <f t="shared" si="7"/>
        <v>617.72</v>
      </c>
    </row>
    <row r="616" spans="1:3" x14ac:dyDescent="0.45">
      <c r="A616" s="5">
        <v>41334</v>
      </c>
      <c r="B616">
        <v>1.66</v>
      </c>
      <c r="C616" s="3">
        <f t="shared" si="7"/>
        <v>618.05999999999995</v>
      </c>
    </row>
    <row r="617" spans="1:3" x14ac:dyDescent="0.45">
      <c r="A617" s="5">
        <v>41365</v>
      </c>
      <c r="B617">
        <v>1.52</v>
      </c>
      <c r="C617" s="3">
        <f t="shared" si="7"/>
        <v>617.91999999999996</v>
      </c>
    </row>
    <row r="618" spans="1:3" x14ac:dyDescent="0.45">
      <c r="A618" s="5">
        <v>41395</v>
      </c>
      <c r="B618">
        <v>1.29</v>
      </c>
      <c r="C618" s="3">
        <f t="shared" si="7"/>
        <v>617.68999999999994</v>
      </c>
    </row>
    <row r="619" spans="1:3" x14ac:dyDescent="0.45">
      <c r="A619" s="5">
        <v>41426</v>
      </c>
      <c r="B619">
        <v>1.19</v>
      </c>
      <c r="C619" s="3">
        <f t="shared" si="7"/>
        <v>617.59</v>
      </c>
    </row>
    <row r="620" spans="1:3" x14ac:dyDescent="0.45">
      <c r="A620" s="5">
        <v>41456</v>
      </c>
      <c r="B620">
        <v>1.08</v>
      </c>
      <c r="C620" s="3">
        <f t="shared" si="7"/>
        <v>617.48</v>
      </c>
    </row>
    <row r="621" spans="1:3" x14ac:dyDescent="0.45">
      <c r="A621" s="5">
        <v>41487</v>
      </c>
      <c r="B621">
        <v>1.01</v>
      </c>
      <c r="C621" s="3">
        <f t="shared" si="7"/>
        <v>617.41</v>
      </c>
    </row>
    <row r="622" spans="1:3" x14ac:dyDescent="0.45">
      <c r="A622" s="5">
        <v>41518</v>
      </c>
      <c r="B622">
        <v>0.88</v>
      </c>
      <c r="C622" s="3">
        <f t="shared" si="7"/>
        <v>617.28</v>
      </c>
    </row>
    <row r="623" spans="1:3" x14ac:dyDescent="0.45">
      <c r="A623" s="5">
        <v>41548</v>
      </c>
      <c r="B623">
        <v>0.67</v>
      </c>
      <c r="C623" s="3">
        <f t="shared" si="7"/>
        <v>617.06999999999994</v>
      </c>
    </row>
    <row r="624" spans="1:3" x14ac:dyDescent="0.45">
      <c r="A624" s="5">
        <v>41579</v>
      </c>
      <c r="B624">
        <v>0.38</v>
      </c>
      <c r="C624" s="3">
        <f t="shared" si="7"/>
        <v>616.78</v>
      </c>
    </row>
    <row r="625" spans="1:3" x14ac:dyDescent="0.45">
      <c r="A625" s="5">
        <v>41609</v>
      </c>
      <c r="B625">
        <v>0.35</v>
      </c>
      <c r="C625" s="3">
        <f t="shared" si="7"/>
        <v>616.75</v>
      </c>
    </row>
    <row r="626" spans="1:3" x14ac:dyDescent="0.45">
      <c r="A626" s="5">
        <v>41640</v>
      </c>
      <c r="B626">
        <v>0.5</v>
      </c>
      <c r="C626" s="3">
        <f t="shared" si="7"/>
        <v>616.9</v>
      </c>
    </row>
    <row r="627" spans="1:3" x14ac:dyDescent="0.45">
      <c r="A627" s="5">
        <v>41671</v>
      </c>
      <c r="B627">
        <v>0.8</v>
      </c>
      <c r="C627" s="3">
        <f t="shared" si="7"/>
        <v>617.19999999999993</v>
      </c>
    </row>
    <row r="628" spans="1:3" x14ac:dyDescent="0.45">
      <c r="A628" s="5">
        <v>41699</v>
      </c>
      <c r="B628">
        <v>1.1299999999999999</v>
      </c>
      <c r="C628" s="3">
        <f t="shared" si="7"/>
        <v>617.53</v>
      </c>
    </row>
    <row r="629" spans="1:3" x14ac:dyDescent="0.45">
      <c r="A629" s="5">
        <v>41730</v>
      </c>
      <c r="B629">
        <v>1.19</v>
      </c>
      <c r="C629" s="3">
        <f t="shared" si="7"/>
        <v>617.59</v>
      </c>
    </row>
    <row r="630" spans="1:3" x14ac:dyDescent="0.45">
      <c r="A630" s="5">
        <v>41760</v>
      </c>
      <c r="B630">
        <v>1.01</v>
      </c>
      <c r="C630" s="3">
        <f t="shared" si="7"/>
        <v>617.41</v>
      </c>
    </row>
    <row r="631" spans="1:3" x14ac:dyDescent="0.45">
      <c r="A631" s="5">
        <v>41791</v>
      </c>
      <c r="B631">
        <v>0.93</v>
      </c>
      <c r="C631" s="3">
        <f t="shared" si="7"/>
        <v>617.32999999999993</v>
      </c>
    </row>
    <row r="632" spans="1:3" x14ac:dyDescent="0.45">
      <c r="A632" s="5">
        <v>41821</v>
      </c>
      <c r="B632">
        <v>0.76</v>
      </c>
      <c r="C632" s="3">
        <f t="shared" si="7"/>
        <v>617.16</v>
      </c>
    </row>
    <row r="633" spans="1:3" x14ac:dyDescent="0.45">
      <c r="A633" s="5">
        <v>41852</v>
      </c>
      <c r="B633">
        <v>0.61</v>
      </c>
      <c r="C633" s="3">
        <f t="shared" si="7"/>
        <v>617.01</v>
      </c>
    </row>
    <row r="634" spans="1:3" x14ac:dyDescent="0.45">
      <c r="A634" s="5">
        <v>41883</v>
      </c>
      <c r="B634">
        <v>0.5</v>
      </c>
      <c r="C634" s="3">
        <f t="shared" si="7"/>
        <v>616.9</v>
      </c>
    </row>
    <row r="635" spans="1:3" x14ac:dyDescent="0.45">
      <c r="A635" s="5">
        <v>41913</v>
      </c>
      <c r="B635">
        <v>0.34</v>
      </c>
      <c r="C635" s="3">
        <f>616.4+B635</f>
        <v>616.74</v>
      </c>
    </row>
    <row r="636" spans="1:3" x14ac:dyDescent="0.45">
      <c r="A636" s="5">
        <v>41944</v>
      </c>
      <c r="B636">
        <v>0.06</v>
      </c>
      <c r="C636" s="3">
        <f t="shared" si="7"/>
        <v>616.45999999999992</v>
      </c>
    </row>
    <row r="637" spans="1:3" x14ac:dyDescent="0.45">
      <c r="A637" s="5">
        <v>41974</v>
      </c>
      <c r="B637">
        <v>0.02</v>
      </c>
      <c r="C637" s="3">
        <f t="shared" si="7"/>
        <v>616.41999999999996</v>
      </c>
    </row>
    <row r="638" spans="1:3" x14ac:dyDescent="0.45">
      <c r="A638" s="5">
        <v>42005</v>
      </c>
      <c r="B638">
        <v>0.92</v>
      </c>
      <c r="C638" s="3">
        <f t="shared" si="7"/>
        <v>617.31999999999994</v>
      </c>
    </row>
    <row r="639" spans="1:3" x14ac:dyDescent="0.45">
      <c r="A639" s="5">
        <v>42036</v>
      </c>
      <c r="B639">
        <v>2.3199999999999998</v>
      </c>
      <c r="C639" s="3">
        <f t="shared" si="7"/>
        <v>618.72</v>
      </c>
    </row>
    <row r="640" spans="1:3" x14ac:dyDescent="0.45">
      <c r="A640" s="5">
        <v>42064</v>
      </c>
      <c r="B640">
        <v>2.8</v>
      </c>
      <c r="C640" s="3">
        <f t="shared" si="7"/>
        <v>619.19999999999993</v>
      </c>
    </row>
    <row r="641" spans="1:3" x14ac:dyDescent="0.45">
      <c r="A641" s="5">
        <v>42095</v>
      </c>
      <c r="B641">
        <v>2.5499999999999998</v>
      </c>
      <c r="C641" s="3">
        <f t="shared" si="7"/>
        <v>618.94999999999993</v>
      </c>
    </row>
    <row r="642" spans="1:3" x14ac:dyDescent="0.45">
      <c r="A642" s="5">
        <v>42125</v>
      </c>
      <c r="B642">
        <v>2.46</v>
      </c>
      <c r="C642" s="3">
        <f t="shared" si="7"/>
        <v>618.86</v>
      </c>
    </row>
    <row r="643" spans="1:3" x14ac:dyDescent="0.45">
      <c r="A643" s="5">
        <v>42156</v>
      </c>
      <c r="B643">
        <v>2.38</v>
      </c>
      <c r="C643" s="3">
        <f t="shared" si="7"/>
        <v>618.78</v>
      </c>
    </row>
    <row r="644" spans="1:3" x14ac:dyDescent="0.45">
      <c r="A644" s="5">
        <v>42186</v>
      </c>
      <c r="B644">
        <v>2.31</v>
      </c>
      <c r="C644" s="3">
        <f t="shared" si="7"/>
        <v>618.70999999999992</v>
      </c>
    </row>
    <row r="645" spans="1:3" x14ac:dyDescent="0.45">
      <c r="A645" s="5">
        <v>42217</v>
      </c>
      <c r="B645">
        <v>2.1800000000000002</v>
      </c>
      <c r="C645" s="3">
        <f t="shared" si="7"/>
        <v>618.57999999999993</v>
      </c>
    </row>
    <row r="646" spans="1:3" x14ac:dyDescent="0.45">
      <c r="A646" s="5">
        <v>42248</v>
      </c>
      <c r="B646">
        <v>2.04</v>
      </c>
      <c r="C646" s="3">
        <f t="shared" si="7"/>
        <v>618.43999999999994</v>
      </c>
    </row>
    <row r="647" spans="1:3" x14ac:dyDescent="0.45">
      <c r="A647" s="5">
        <v>42278</v>
      </c>
      <c r="B647">
        <v>1.8</v>
      </c>
      <c r="C647" s="3">
        <f t="shared" si="7"/>
        <v>618.19999999999993</v>
      </c>
    </row>
    <row r="648" spans="1:3" x14ac:dyDescent="0.45">
      <c r="A648" s="5">
        <v>42309</v>
      </c>
      <c r="B648">
        <v>1.41</v>
      </c>
      <c r="C648" s="3">
        <f t="shared" si="7"/>
        <v>617.80999999999995</v>
      </c>
    </row>
    <row r="649" spans="1:3" x14ac:dyDescent="0.45">
      <c r="A649" s="5">
        <v>42339</v>
      </c>
      <c r="B649">
        <v>1.01</v>
      </c>
      <c r="C649" s="3">
        <f t="shared" si="7"/>
        <v>617.41</v>
      </c>
    </row>
    <row r="650" spans="1:3" x14ac:dyDescent="0.45">
      <c r="A650" s="5">
        <v>42370</v>
      </c>
      <c r="B650">
        <v>0.82</v>
      </c>
      <c r="C650" s="3">
        <f t="shared" si="7"/>
        <v>617.22</v>
      </c>
    </row>
    <row r="651" spans="1:3" x14ac:dyDescent="0.45">
      <c r="A651" s="5">
        <v>42401</v>
      </c>
      <c r="B651">
        <v>1.26</v>
      </c>
      <c r="C651" s="3">
        <f t="shared" si="7"/>
        <v>617.66</v>
      </c>
    </row>
    <row r="652" spans="1:3" x14ac:dyDescent="0.45">
      <c r="A652" s="5">
        <v>42430</v>
      </c>
      <c r="B652">
        <v>1.31</v>
      </c>
      <c r="C652" s="3">
        <f t="shared" si="7"/>
        <v>617.70999999999992</v>
      </c>
    </row>
    <row r="653" spans="1:3" x14ac:dyDescent="0.45">
      <c r="A653" s="5">
        <v>42461</v>
      </c>
      <c r="B653">
        <v>1.23</v>
      </c>
      <c r="C653" s="3">
        <f t="shared" si="7"/>
        <v>617.63</v>
      </c>
    </row>
    <row r="654" spans="1:3" x14ac:dyDescent="0.45">
      <c r="A654" s="5">
        <v>42491</v>
      </c>
      <c r="B654">
        <v>0.88</v>
      </c>
      <c r="C654" s="3">
        <f t="shared" si="7"/>
        <v>617.28</v>
      </c>
    </row>
    <row r="655" spans="1:3" x14ac:dyDescent="0.45">
      <c r="A655" s="5">
        <v>42522</v>
      </c>
      <c r="B655">
        <v>0.85</v>
      </c>
      <c r="C655" s="3">
        <f t="shared" ref="C655:C659" si="8">616.4+B655</f>
        <v>617.25</v>
      </c>
    </row>
    <row r="656" spans="1:3" x14ac:dyDescent="0.45">
      <c r="A656" s="5">
        <v>42552</v>
      </c>
      <c r="B656">
        <v>0.56999999999999995</v>
      </c>
      <c r="C656" s="3">
        <f t="shared" si="8"/>
        <v>616.97</v>
      </c>
    </row>
    <row r="657" spans="1:3" x14ac:dyDescent="0.45">
      <c r="A657" s="5">
        <v>42583</v>
      </c>
      <c r="B657">
        <v>0.54</v>
      </c>
      <c r="C657" s="3">
        <f t="shared" si="8"/>
        <v>616.93999999999994</v>
      </c>
    </row>
    <row r="658" spans="1:3" x14ac:dyDescent="0.45">
      <c r="A658" s="5">
        <v>42614</v>
      </c>
      <c r="B658">
        <v>0.46</v>
      </c>
      <c r="C658" s="3">
        <f t="shared" si="8"/>
        <v>616.86</v>
      </c>
    </row>
    <row r="659" spans="1:3" x14ac:dyDescent="0.45">
      <c r="A659" s="5">
        <v>42644</v>
      </c>
      <c r="B659">
        <v>0.37</v>
      </c>
      <c r="C659" s="3">
        <f t="shared" si="8"/>
        <v>616.77</v>
      </c>
    </row>
    <row r="660" spans="1:3" x14ac:dyDescent="0.45">
      <c r="A660" s="5">
        <v>42675</v>
      </c>
      <c r="B660">
        <v>0.3</v>
      </c>
      <c r="C660">
        <f>616</f>
        <v>616</v>
      </c>
    </row>
    <row r="661" spans="1:3" x14ac:dyDescent="0.45">
      <c r="A661" s="5">
        <v>42705</v>
      </c>
    </row>
    <row r="662" spans="1:3" x14ac:dyDescent="0.45">
      <c r="A662" s="5">
        <v>42736</v>
      </c>
    </row>
    <row r="663" spans="1:3" x14ac:dyDescent="0.45">
      <c r="A663" s="5">
        <v>42767</v>
      </c>
    </row>
    <row r="664" spans="1:3" x14ac:dyDescent="0.45">
      <c r="A664" s="5">
        <v>42795</v>
      </c>
    </row>
    <row r="665" spans="1:3" x14ac:dyDescent="0.45">
      <c r="A665" s="5">
        <v>42826</v>
      </c>
    </row>
    <row r="666" spans="1:3" x14ac:dyDescent="0.45">
      <c r="A666" s="5">
        <v>42856</v>
      </c>
    </row>
    <row r="667" spans="1:3" x14ac:dyDescent="0.45">
      <c r="A667" s="5">
        <v>42887</v>
      </c>
    </row>
    <row r="668" spans="1:3" x14ac:dyDescent="0.45">
      <c r="A668" s="5">
        <v>42917</v>
      </c>
    </row>
    <row r="669" spans="1:3" x14ac:dyDescent="0.45">
      <c r="A669" s="5">
        <v>42948</v>
      </c>
    </row>
    <row r="670" spans="1:3" x14ac:dyDescent="0.45">
      <c r="A670" s="5">
        <v>42979</v>
      </c>
    </row>
    <row r="671" spans="1:3" x14ac:dyDescent="0.45">
      <c r="A671" s="5">
        <v>43009</v>
      </c>
    </row>
    <row r="672" spans="1:3" x14ac:dyDescent="0.45">
      <c r="A672" s="5">
        <v>43040</v>
      </c>
    </row>
    <row r="673" spans="1:3" x14ac:dyDescent="0.45">
      <c r="A673" s="5">
        <v>43070</v>
      </c>
    </row>
    <row r="674" spans="1:3" x14ac:dyDescent="0.45">
      <c r="A674" s="5">
        <v>43101</v>
      </c>
    </row>
    <row r="675" spans="1:3" x14ac:dyDescent="0.45">
      <c r="A675" s="5">
        <v>43132</v>
      </c>
    </row>
    <row r="676" spans="1:3" x14ac:dyDescent="0.45">
      <c r="A676" s="5">
        <v>43160</v>
      </c>
    </row>
    <row r="677" spans="1:3" x14ac:dyDescent="0.45">
      <c r="A677" s="5">
        <v>43191</v>
      </c>
    </row>
    <row r="678" spans="1:3" x14ac:dyDescent="0.45">
      <c r="A678" s="5">
        <v>43221</v>
      </c>
    </row>
    <row r="679" spans="1:3" x14ac:dyDescent="0.45">
      <c r="A679" s="5">
        <v>43252</v>
      </c>
      <c r="B679" s="4">
        <f>C679-616.4</f>
        <v>0.94336150515505324</v>
      </c>
      <c r="C679">
        <v>617.34336150515503</v>
      </c>
    </row>
    <row r="680" spans="1:3" x14ac:dyDescent="0.45">
      <c r="A680" s="5">
        <v>43282</v>
      </c>
      <c r="B680" s="4"/>
    </row>
    <row r="681" spans="1:3" x14ac:dyDescent="0.45">
      <c r="A681" s="5">
        <v>43313</v>
      </c>
      <c r="B681" s="4"/>
    </row>
    <row r="682" spans="1:3" x14ac:dyDescent="0.45">
      <c r="A682" s="5">
        <v>43344</v>
      </c>
      <c r="B682" s="4"/>
    </row>
    <row r="683" spans="1:3" x14ac:dyDescent="0.45">
      <c r="A683" s="5">
        <v>43374</v>
      </c>
      <c r="B683" s="4"/>
    </row>
    <row r="684" spans="1:3" x14ac:dyDescent="0.45">
      <c r="A684" s="5">
        <v>43405</v>
      </c>
      <c r="B684" s="4"/>
    </row>
    <row r="685" spans="1:3" x14ac:dyDescent="0.45">
      <c r="A685" s="5">
        <v>43435</v>
      </c>
      <c r="B685" s="4">
        <f>C685-616.4</f>
        <v>1.5045685566110478</v>
      </c>
      <c r="C685">
        <v>617.90456855661103</v>
      </c>
    </row>
    <row r="686" spans="1:3" x14ac:dyDescent="0.45">
      <c r="A686" s="5">
        <v>43466</v>
      </c>
      <c r="B686" s="4">
        <f t="shared" ref="B686:B743" si="9">C686-616.4</f>
        <v>1.5322518279200494</v>
      </c>
      <c r="C686">
        <v>617.93225182792003</v>
      </c>
    </row>
    <row r="687" spans="1:3" x14ac:dyDescent="0.45">
      <c r="A687" s="5">
        <v>43497</v>
      </c>
      <c r="B687" s="4">
        <f t="shared" si="9"/>
        <v>1.0062202508960354</v>
      </c>
      <c r="C687">
        <v>617.40622025089601</v>
      </c>
    </row>
    <row r="688" spans="1:3" x14ac:dyDescent="0.45">
      <c r="A688" s="5">
        <v>43525</v>
      </c>
      <c r="B688" s="4">
        <f t="shared" si="9"/>
        <v>1.6324055642908206</v>
      </c>
      <c r="C688">
        <v>618.0324055642908</v>
      </c>
    </row>
    <row r="689" spans="1:3" x14ac:dyDescent="0.45">
      <c r="A689" s="5">
        <v>43556</v>
      </c>
      <c r="B689" s="4">
        <f t="shared" si="9"/>
        <v>1.9658115601183681</v>
      </c>
      <c r="C689">
        <v>618.36581156011835</v>
      </c>
    </row>
    <row r="690" spans="1:3" x14ac:dyDescent="0.45">
      <c r="A690" s="5">
        <v>43586</v>
      </c>
      <c r="B690" s="4">
        <f t="shared" si="9"/>
        <v>1.8984691668202913</v>
      </c>
      <c r="C690">
        <v>618.29846916682027</v>
      </c>
    </row>
    <row r="691" spans="1:3" x14ac:dyDescent="0.45">
      <c r="A691" s="5">
        <v>43617</v>
      </c>
      <c r="B691" s="4">
        <f t="shared" si="9"/>
        <v>1.7553954740629933</v>
      </c>
      <c r="C691">
        <v>618.15539547406297</v>
      </c>
    </row>
    <row r="692" spans="1:3" x14ac:dyDescent="0.45">
      <c r="A692" s="5">
        <v>43647</v>
      </c>
      <c r="B692" s="4">
        <f t="shared" si="9"/>
        <v>1.6535593526028833</v>
      </c>
      <c r="C692">
        <v>618.05355935260286</v>
      </c>
    </row>
    <row r="693" spans="1:3" x14ac:dyDescent="0.45">
      <c r="A693" s="5">
        <v>43678</v>
      </c>
      <c r="B693" s="4">
        <f t="shared" si="9"/>
        <v>1.6742196249888366</v>
      </c>
      <c r="C693">
        <v>618.07421962498881</v>
      </c>
    </row>
    <row r="694" spans="1:3" x14ac:dyDescent="0.45">
      <c r="A694" s="5">
        <v>43709</v>
      </c>
      <c r="B694" s="4">
        <f t="shared" si="9"/>
        <v>1.3598723181103196</v>
      </c>
      <c r="C694">
        <v>617.7598723181103</v>
      </c>
    </row>
    <row r="695" spans="1:3" x14ac:dyDescent="0.45">
      <c r="A695" s="5">
        <v>43739</v>
      </c>
      <c r="B695" s="4">
        <f t="shared" si="9"/>
        <v>1.2808209467117422</v>
      </c>
      <c r="C695">
        <v>617.68082094671172</v>
      </c>
    </row>
    <row r="696" spans="1:3" x14ac:dyDescent="0.45">
      <c r="A696" s="5">
        <v>43770</v>
      </c>
      <c r="B696" s="4">
        <f t="shared" si="9"/>
        <v>1.2030422466847313</v>
      </c>
      <c r="C696">
        <v>617.60304224668471</v>
      </c>
    </row>
    <row r="697" spans="1:3" x14ac:dyDescent="0.45">
      <c r="A697" s="5">
        <v>43800</v>
      </c>
      <c r="B697" s="4">
        <f t="shared" si="9"/>
        <v>1.115090274172303</v>
      </c>
      <c r="C697">
        <v>617.51509027417228</v>
      </c>
    </row>
    <row r="698" spans="1:3" x14ac:dyDescent="0.45">
      <c r="A698" s="5">
        <v>43831</v>
      </c>
      <c r="B698" s="4">
        <f t="shared" si="9"/>
        <v>1.8856992644180082</v>
      </c>
      <c r="C698">
        <v>618.28569926441799</v>
      </c>
    </row>
    <row r="699" spans="1:3" x14ac:dyDescent="0.45">
      <c r="A699" s="5">
        <v>43862</v>
      </c>
      <c r="B699" s="4">
        <f t="shared" si="9"/>
        <v>1.6989924326400114</v>
      </c>
      <c r="C699">
        <v>618.09899243263999</v>
      </c>
    </row>
    <row r="700" spans="1:3" x14ac:dyDescent="0.45">
      <c r="A700" s="5">
        <v>43891</v>
      </c>
      <c r="B700" s="4">
        <f t="shared" si="9"/>
        <v>1.4674845013570348</v>
      </c>
      <c r="C700">
        <v>617.86748450135701</v>
      </c>
    </row>
    <row r="701" spans="1:3" x14ac:dyDescent="0.45">
      <c r="A701" s="5">
        <v>43922</v>
      </c>
      <c r="B701" s="4">
        <f t="shared" si="9"/>
        <v>1.4214006215514701</v>
      </c>
      <c r="C701">
        <v>617.82140062155145</v>
      </c>
    </row>
    <row r="702" spans="1:3" x14ac:dyDescent="0.45">
      <c r="A702" s="5">
        <v>43952</v>
      </c>
      <c r="B702" s="4">
        <f t="shared" si="9"/>
        <v>1.6362079127786728</v>
      </c>
      <c r="C702">
        <v>618.03620791277865</v>
      </c>
    </row>
    <row r="703" spans="1:3" x14ac:dyDescent="0.45">
      <c r="A703" s="5">
        <v>43983</v>
      </c>
      <c r="B703" s="4">
        <f t="shared" si="9"/>
        <v>1.7674812376505997</v>
      </c>
      <c r="C703">
        <v>618.16748123765058</v>
      </c>
    </row>
    <row r="704" spans="1:3" x14ac:dyDescent="0.45">
      <c r="A704" s="5">
        <v>44013</v>
      </c>
      <c r="B704" s="4">
        <f t="shared" si="9"/>
        <v>1.5165465118635666</v>
      </c>
      <c r="C704">
        <v>617.91654651186354</v>
      </c>
    </row>
    <row r="705" spans="1:3" x14ac:dyDescent="0.45">
      <c r="A705" s="5">
        <v>44044</v>
      </c>
      <c r="B705" s="4">
        <f t="shared" si="9"/>
        <v>1.8541030595507664</v>
      </c>
      <c r="C705">
        <v>618.25410305955074</v>
      </c>
    </row>
    <row r="706" spans="1:3" x14ac:dyDescent="0.45">
      <c r="A706" s="5">
        <v>44075</v>
      </c>
      <c r="B706" s="4">
        <f t="shared" si="9"/>
        <v>1.586129778436657</v>
      </c>
      <c r="C706">
        <v>617.98612977843663</v>
      </c>
    </row>
    <row r="707" spans="1:3" x14ac:dyDescent="0.45">
      <c r="A707" s="5">
        <v>44105</v>
      </c>
      <c r="B707" s="4">
        <f t="shared" si="9"/>
        <v>1.6017024122022576</v>
      </c>
      <c r="C707">
        <v>618.00170241220223</v>
      </c>
    </row>
    <row r="708" spans="1:3" x14ac:dyDescent="0.45">
      <c r="A708" s="5">
        <v>44136</v>
      </c>
      <c r="B708" s="4">
        <f t="shared" si="9"/>
        <v>1.6534481875393112</v>
      </c>
      <c r="C708">
        <v>618.05344818753929</v>
      </c>
    </row>
    <row r="709" spans="1:3" x14ac:dyDescent="0.45">
      <c r="A709" s="5">
        <v>44166</v>
      </c>
      <c r="B709" s="4">
        <f t="shared" si="9"/>
        <v>1.6513338993000843</v>
      </c>
      <c r="C709">
        <v>618.05133389930006</v>
      </c>
    </row>
    <row r="710" spans="1:3" x14ac:dyDescent="0.45">
      <c r="A710" s="5">
        <v>44197</v>
      </c>
      <c r="B710" s="4">
        <f t="shared" si="9"/>
        <v>2.818146104792504</v>
      </c>
      <c r="C710">
        <v>619.21814610479248</v>
      </c>
    </row>
    <row r="711" spans="1:3" x14ac:dyDescent="0.45">
      <c r="A711" s="5">
        <v>44228</v>
      </c>
      <c r="B711" s="4">
        <f t="shared" si="9"/>
        <v>3.3885155677789953</v>
      </c>
      <c r="C711">
        <v>619.78851556777897</v>
      </c>
    </row>
    <row r="712" spans="1:3" x14ac:dyDescent="0.45">
      <c r="A712" s="5">
        <v>44256</v>
      </c>
      <c r="B712" s="4">
        <f t="shared" si="9"/>
        <v>2.2117205977177719</v>
      </c>
      <c r="C712">
        <v>618.61172059771775</v>
      </c>
    </row>
    <row r="713" spans="1:3" x14ac:dyDescent="0.45">
      <c r="A713" s="5">
        <v>44287</v>
      </c>
      <c r="B713" s="4">
        <f t="shared" si="9"/>
        <v>1.5704155739796306</v>
      </c>
      <c r="C713">
        <v>617.97041557397961</v>
      </c>
    </row>
    <row r="714" spans="1:3" x14ac:dyDescent="0.45">
      <c r="A714" s="5">
        <v>44317</v>
      </c>
      <c r="B714" s="4">
        <f t="shared" si="9"/>
        <v>1.4778402054502067</v>
      </c>
      <c r="C714">
        <v>617.87784020545018</v>
      </c>
    </row>
    <row r="715" spans="1:3" x14ac:dyDescent="0.45">
      <c r="A715" s="5">
        <v>44348</v>
      </c>
      <c r="B715" s="4">
        <f t="shared" si="9"/>
        <v>1.7640928527142705</v>
      </c>
      <c r="C715">
        <v>618.16409285271425</v>
      </c>
    </row>
    <row r="716" spans="1:3" x14ac:dyDescent="0.45">
      <c r="A716" s="5">
        <v>44378</v>
      </c>
      <c r="B716" s="4">
        <f t="shared" si="9"/>
        <v>1.6639871994498208</v>
      </c>
      <c r="C716">
        <v>618.0639871994498</v>
      </c>
    </row>
    <row r="717" spans="1:3" x14ac:dyDescent="0.45">
      <c r="A717" s="5">
        <v>44409</v>
      </c>
      <c r="B717" s="4">
        <f t="shared" si="9"/>
        <v>1.3497676328306625</v>
      </c>
      <c r="C717">
        <v>617.74976763283064</v>
      </c>
    </row>
    <row r="718" spans="1:3" x14ac:dyDescent="0.45">
      <c r="A718" s="5">
        <v>44440</v>
      </c>
      <c r="B718" s="4">
        <f t="shared" si="9"/>
        <v>1.3653707621620015</v>
      </c>
      <c r="C718">
        <v>617.76537076216198</v>
      </c>
    </row>
    <row r="719" spans="1:3" x14ac:dyDescent="0.45">
      <c r="A719" s="5">
        <v>44470</v>
      </c>
      <c r="B719" s="4">
        <f t="shared" si="9"/>
        <v>1.3627407215250287</v>
      </c>
      <c r="C719">
        <v>617.76274072152501</v>
      </c>
    </row>
    <row r="720" spans="1:3" x14ac:dyDescent="0.45">
      <c r="A720" s="5">
        <v>44501</v>
      </c>
      <c r="B720" s="4">
        <f t="shared" si="9"/>
        <v>1.3028819819662658</v>
      </c>
      <c r="C720">
        <v>617.70288198196624</v>
      </c>
    </row>
    <row r="721" spans="1:3" x14ac:dyDescent="0.45">
      <c r="A721" s="5">
        <v>44531</v>
      </c>
      <c r="B721" s="4">
        <f t="shared" si="9"/>
        <v>0.9934044522400427</v>
      </c>
      <c r="C721">
        <v>617.39340445224002</v>
      </c>
    </row>
    <row r="722" spans="1:3" x14ac:dyDescent="0.45">
      <c r="A722" s="5">
        <v>44562</v>
      </c>
      <c r="B722" s="4">
        <f t="shared" si="9"/>
        <v>2.6174879931230635</v>
      </c>
      <c r="C722">
        <v>619.01748799312304</v>
      </c>
    </row>
    <row r="723" spans="1:3" x14ac:dyDescent="0.45">
      <c r="A723" s="5">
        <v>44593</v>
      </c>
      <c r="B723" s="4">
        <f t="shared" si="9"/>
        <v>1.7552339120245506</v>
      </c>
      <c r="C723">
        <v>618.15523391202453</v>
      </c>
    </row>
    <row r="724" spans="1:3" x14ac:dyDescent="0.45">
      <c r="A724" s="5">
        <v>44621</v>
      </c>
      <c r="B724" s="4">
        <f t="shared" si="9"/>
        <v>1.9790546758027858</v>
      </c>
      <c r="C724">
        <v>618.37905467580276</v>
      </c>
    </row>
    <row r="725" spans="1:3" x14ac:dyDescent="0.45">
      <c r="A725" s="5">
        <v>44652</v>
      </c>
      <c r="B725" s="4">
        <f t="shared" si="9"/>
        <v>1.7503089615460112</v>
      </c>
      <c r="C725">
        <v>618.15030896154599</v>
      </c>
    </row>
    <row r="726" spans="1:3" x14ac:dyDescent="0.45">
      <c r="A726" s="5">
        <v>44682</v>
      </c>
      <c r="B726" s="4">
        <f t="shared" si="9"/>
        <v>1.6358575879238515</v>
      </c>
      <c r="C726">
        <v>618.03585758792383</v>
      </c>
    </row>
    <row r="727" spans="1:3" x14ac:dyDescent="0.45">
      <c r="A727" s="5">
        <v>44713</v>
      </c>
      <c r="B727" s="4">
        <f t="shared" si="9"/>
        <v>1.6933273564700357</v>
      </c>
      <c r="C727">
        <v>618.09332735647001</v>
      </c>
    </row>
    <row r="728" spans="1:3" x14ac:dyDescent="0.45">
      <c r="A728" s="5">
        <v>44743</v>
      </c>
      <c r="B728" s="4">
        <f t="shared" si="9"/>
        <v>1.5959317178898118</v>
      </c>
      <c r="C728">
        <v>617.99593171788979</v>
      </c>
    </row>
    <row r="729" spans="1:3" x14ac:dyDescent="0.45">
      <c r="A729" s="5">
        <v>44774</v>
      </c>
      <c r="B729" s="4">
        <f t="shared" si="9"/>
        <v>1.632031092404759</v>
      </c>
      <c r="C729">
        <v>618.03203109240474</v>
      </c>
    </row>
    <row r="730" spans="1:3" x14ac:dyDescent="0.45">
      <c r="A730" s="5">
        <v>44805</v>
      </c>
      <c r="B730" s="4">
        <f t="shared" si="9"/>
        <v>1.7649004277683389</v>
      </c>
      <c r="C730">
        <v>618.16490042776832</v>
      </c>
    </row>
    <row r="731" spans="1:3" x14ac:dyDescent="0.45">
      <c r="A731" s="5">
        <v>44835</v>
      </c>
      <c r="B731" s="4">
        <f t="shared" si="9"/>
        <v>1.5374777778993121</v>
      </c>
      <c r="C731">
        <v>617.93747777789929</v>
      </c>
    </row>
    <row r="732" spans="1:3" x14ac:dyDescent="0.45">
      <c r="A732" s="5">
        <v>44866</v>
      </c>
      <c r="B732" s="4">
        <f t="shared" si="9"/>
        <v>1.587605212862627</v>
      </c>
      <c r="C732">
        <v>617.9876052128626</v>
      </c>
    </row>
    <row r="733" spans="1:3" x14ac:dyDescent="0.45">
      <c r="A733" s="5">
        <v>44896</v>
      </c>
      <c r="B733" s="4">
        <f t="shared" si="9"/>
        <v>1.4745754318420268</v>
      </c>
      <c r="C733">
        <v>617.874575431842</v>
      </c>
    </row>
    <row r="734" spans="1:3" x14ac:dyDescent="0.45">
      <c r="A734" s="5">
        <v>44927</v>
      </c>
      <c r="B734" s="4">
        <f t="shared" si="9"/>
        <v>2.034309759980033</v>
      </c>
      <c r="C734">
        <v>618.43430975998001</v>
      </c>
    </row>
    <row r="735" spans="1:3" x14ac:dyDescent="0.45">
      <c r="A735" s="5">
        <v>44958</v>
      </c>
      <c r="B735" s="4">
        <f t="shared" si="9"/>
        <v>1.8147125664750092</v>
      </c>
      <c r="C735">
        <v>618.21471256647499</v>
      </c>
    </row>
    <row r="736" spans="1:3" x14ac:dyDescent="0.45">
      <c r="A736" s="5">
        <v>44986</v>
      </c>
      <c r="B736" s="4">
        <f t="shared" si="9"/>
        <v>2.9137797209356222</v>
      </c>
      <c r="C736">
        <v>619.3137797209356</v>
      </c>
    </row>
    <row r="737" spans="1:3" x14ac:dyDescent="0.45">
      <c r="A737" s="5">
        <v>45017</v>
      </c>
      <c r="B737" s="4">
        <f t="shared" si="9"/>
        <v>4.4190844216909682</v>
      </c>
      <c r="C737">
        <v>620.81908442169095</v>
      </c>
    </row>
    <row r="738" spans="1:3" x14ac:dyDescent="0.45">
      <c r="A738" s="5">
        <v>45047</v>
      </c>
      <c r="B738" s="4">
        <f t="shared" si="9"/>
        <v>4.12056177940201</v>
      </c>
      <c r="C738">
        <v>620.52056177940199</v>
      </c>
    </row>
    <row r="739" spans="1:3" x14ac:dyDescent="0.45">
      <c r="A739" s="5">
        <v>45078</v>
      </c>
      <c r="B739" s="4">
        <f t="shared" si="9"/>
        <v>4.0802381258756668</v>
      </c>
      <c r="C739">
        <v>620.48023812587564</v>
      </c>
    </row>
    <row r="740" spans="1:3" x14ac:dyDescent="0.45">
      <c r="A740" s="5">
        <v>45108</v>
      </c>
      <c r="B740" s="4">
        <f t="shared" si="9"/>
        <v>4.0835069060982505</v>
      </c>
      <c r="C740">
        <v>620.48350690609823</v>
      </c>
    </row>
    <row r="741" spans="1:3" x14ac:dyDescent="0.45">
      <c r="A741" s="5">
        <v>45139</v>
      </c>
      <c r="B741" s="4">
        <f t="shared" si="9"/>
        <v>4.0682050180870419</v>
      </c>
      <c r="C741">
        <v>620.46820501808702</v>
      </c>
    </row>
    <row r="742" spans="1:3" x14ac:dyDescent="0.45">
      <c r="A742" s="5">
        <v>45170</v>
      </c>
      <c r="B742" s="4">
        <f t="shared" si="9"/>
        <v>4.0469959294197224</v>
      </c>
      <c r="C742">
        <v>620.4469959294197</v>
      </c>
    </row>
    <row r="743" spans="1:3" x14ac:dyDescent="0.45">
      <c r="A743" s="5">
        <v>45200</v>
      </c>
      <c r="B743" s="4">
        <f t="shared" si="9"/>
        <v>4.0689875483220703</v>
      </c>
      <c r="C743">
        <v>620.46898754832205</v>
      </c>
    </row>
    <row r="744" spans="1:3" x14ac:dyDescent="0.45">
      <c r="A744" s="5">
        <v>45231</v>
      </c>
      <c r="B744" s="4">
        <f t="shared" ref="B744:B764" si="10">C744-616.4</f>
        <v>3.880704340114562</v>
      </c>
      <c r="C744">
        <v>620.28070434011454</v>
      </c>
    </row>
    <row r="745" spans="1:3" x14ac:dyDescent="0.45">
      <c r="A745" s="5">
        <v>45261</v>
      </c>
      <c r="B745" s="4">
        <f t="shared" si="10"/>
        <v>4.2570853577925618</v>
      </c>
      <c r="C745">
        <v>620.65708535779254</v>
      </c>
    </row>
    <row r="746" spans="1:3" x14ac:dyDescent="0.45">
      <c r="A746" s="5">
        <v>45292</v>
      </c>
      <c r="B746" s="4">
        <f t="shared" si="10"/>
        <v>4.1319876168710152</v>
      </c>
      <c r="C746">
        <v>620.53198761687099</v>
      </c>
    </row>
    <row r="747" spans="1:3" x14ac:dyDescent="0.45">
      <c r="A747" s="5">
        <v>45323</v>
      </c>
      <c r="B747" s="4">
        <f t="shared" si="10"/>
        <v>3.9600567682432484</v>
      </c>
      <c r="C747">
        <v>620.36005676824323</v>
      </c>
    </row>
    <row r="748" spans="1:3" x14ac:dyDescent="0.45">
      <c r="A748" s="5">
        <v>45352</v>
      </c>
      <c r="B748" s="4">
        <f t="shared" si="10"/>
        <v>3.8198847553094311</v>
      </c>
      <c r="C748">
        <v>620.21988475530941</v>
      </c>
    </row>
    <row r="749" spans="1:3" x14ac:dyDescent="0.45">
      <c r="A749" s="5">
        <v>45383</v>
      </c>
      <c r="B749" s="4">
        <f t="shared" si="10"/>
        <v>4.1319029920330195</v>
      </c>
      <c r="C749">
        <v>620.531902992033</v>
      </c>
    </row>
    <row r="750" spans="1:3" x14ac:dyDescent="0.45">
      <c r="A750" s="5">
        <v>45413</v>
      </c>
      <c r="B750" s="4">
        <f t="shared" si="10"/>
        <v>4.04866546460471</v>
      </c>
      <c r="C750">
        <v>620.44866546460469</v>
      </c>
    </row>
    <row r="751" spans="1:3" x14ac:dyDescent="0.45">
      <c r="A751" s="5">
        <v>45444</v>
      </c>
      <c r="B751" s="4">
        <f t="shared" si="10"/>
        <v>4.1138559069397616</v>
      </c>
      <c r="C751">
        <v>620.51385590693974</v>
      </c>
    </row>
    <row r="752" spans="1:3" x14ac:dyDescent="0.45">
      <c r="A752" s="5">
        <v>45474</v>
      </c>
      <c r="B752" s="4">
        <f t="shared" si="10"/>
        <v>3.6294420485335195</v>
      </c>
      <c r="C752">
        <v>620.0294420485335</v>
      </c>
    </row>
    <row r="753" spans="1:3" x14ac:dyDescent="0.45">
      <c r="A753" s="5">
        <v>45505</v>
      </c>
      <c r="B753" s="4">
        <f t="shared" si="10"/>
        <v>3.8943154795236978</v>
      </c>
      <c r="C753">
        <v>620.29431547952368</v>
      </c>
    </row>
    <row r="754" spans="1:3" x14ac:dyDescent="0.45">
      <c r="A754" s="5">
        <v>45536</v>
      </c>
      <c r="B754" s="4">
        <f t="shared" si="10"/>
        <v>3.6691343145004112</v>
      </c>
      <c r="C754">
        <v>620.06913431450039</v>
      </c>
    </row>
    <row r="755" spans="1:3" x14ac:dyDescent="0.45">
      <c r="A755" s="5">
        <v>45566</v>
      </c>
      <c r="B755" s="4">
        <f t="shared" si="10"/>
        <v>3.6563779229931015</v>
      </c>
      <c r="C755">
        <v>620.05637792299308</v>
      </c>
    </row>
    <row r="756" spans="1:3" x14ac:dyDescent="0.45">
      <c r="A756" s="5">
        <v>45597</v>
      </c>
      <c r="B756" s="4">
        <f t="shared" si="10"/>
        <v>3.5993509631920233</v>
      </c>
      <c r="C756">
        <v>619.999350963192</v>
      </c>
    </row>
    <row r="757" spans="1:3" x14ac:dyDescent="0.45">
      <c r="A757" s="5">
        <v>45627</v>
      </c>
      <c r="B757" s="4">
        <f t="shared" si="10"/>
        <v>3.5556194478527914</v>
      </c>
      <c r="C757">
        <v>619.95561944785277</v>
      </c>
    </row>
    <row r="758" spans="1:3" x14ac:dyDescent="0.45">
      <c r="A758" s="5">
        <v>45658</v>
      </c>
      <c r="B758" s="4">
        <f t="shared" si="10"/>
        <v>3.6941980173750153</v>
      </c>
      <c r="C758">
        <v>620.09419801737499</v>
      </c>
    </row>
    <row r="759" spans="1:3" x14ac:dyDescent="0.45">
      <c r="A759" s="5">
        <v>45689</v>
      </c>
      <c r="B759" s="4">
        <f t="shared" si="10"/>
        <v>3.4452770860650617</v>
      </c>
      <c r="C759">
        <v>619.84527708606504</v>
      </c>
    </row>
    <row r="760" spans="1:3" x14ac:dyDescent="0.45">
      <c r="A760" s="5">
        <v>45717</v>
      </c>
      <c r="B760" s="4">
        <f t="shared" si="10"/>
        <v>3.6403824318088027</v>
      </c>
      <c r="C760">
        <v>620.04038243180878</v>
      </c>
    </row>
    <row r="761" spans="1:3" x14ac:dyDescent="0.45">
      <c r="A761" s="5">
        <v>45748</v>
      </c>
      <c r="B761" s="4">
        <f t="shared" si="10"/>
        <v>3.7557838432900326</v>
      </c>
      <c r="C761">
        <v>620.15578384329001</v>
      </c>
    </row>
    <row r="762" spans="1:3" x14ac:dyDescent="0.45">
      <c r="A762" s="5">
        <v>45778</v>
      </c>
      <c r="B762" s="4">
        <f t="shared" si="10"/>
        <v>3.6184613850380174</v>
      </c>
      <c r="C762">
        <v>620.01846138503799</v>
      </c>
    </row>
    <row r="763" spans="1:3" x14ac:dyDescent="0.45">
      <c r="A763" s="5">
        <v>45809</v>
      </c>
      <c r="B763" s="4">
        <f t="shared" si="10"/>
        <v>3.4878553901847908</v>
      </c>
      <c r="C763">
        <v>619.88785539018477</v>
      </c>
    </row>
    <row r="764" spans="1:3" x14ac:dyDescent="0.45">
      <c r="A764" s="5">
        <v>45839</v>
      </c>
      <c r="B764" s="4">
        <f t="shared" si="10"/>
        <v>3.5050523312143014</v>
      </c>
      <c r="C764">
        <v>619.90505233121428</v>
      </c>
    </row>
  </sheetData>
  <autoFilter ref="A1:B733" xr:uid="{1E5C713B-7F9A-478F-A32B-2604ACFDDFAC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E3FAC-897A-4C62-962E-5B0190F53BCF}">
  <dimension ref="A1:G37"/>
  <sheetViews>
    <sheetView topLeftCell="A5" workbookViewId="0">
      <selection activeCell="N16" sqref="N16"/>
    </sheetView>
  </sheetViews>
  <sheetFormatPr defaultRowHeight="14.25" x14ac:dyDescent="0.45"/>
  <cols>
    <col min="1" max="1" width="32" customWidth="1"/>
    <col min="2" max="2" width="9.19921875" bestFit="1" customWidth="1"/>
    <col min="4" max="4" width="30.86328125" customWidth="1"/>
    <col min="5" max="5" width="22.19921875" customWidth="1"/>
    <col min="6" max="6" width="23.46484375" customWidth="1"/>
    <col min="7" max="7" width="14.46484375" customWidth="1"/>
  </cols>
  <sheetData>
    <row r="1" spans="1:7" ht="15.75" x14ac:dyDescent="0.45">
      <c r="A1" s="16" t="s">
        <v>11</v>
      </c>
    </row>
    <row r="3" spans="1:7" ht="42.75" x14ac:dyDescent="0.45">
      <c r="A3" s="17" t="s">
        <v>12</v>
      </c>
      <c r="B3" s="17" t="s">
        <v>0</v>
      </c>
      <c r="C3" s="17" t="s">
        <v>13</v>
      </c>
      <c r="D3" s="17" t="s">
        <v>14</v>
      </c>
      <c r="E3" s="17" t="s">
        <v>15</v>
      </c>
      <c r="F3" s="17" t="s">
        <v>16</v>
      </c>
      <c r="G3" s="17" t="s">
        <v>17</v>
      </c>
    </row>
    <row r="4" spans="1:7" ht="42.75" x14ac:dyDescent="0.45">
      <c r="A4" s="18" t="s">
        <v>18</v>
      </c>
      <c r="B4" s="19">
        <v>28126</v>
      </c>
      <c r="C4" s="18" t="s">
        <v>19</v>
      </c>
      <c r="D4" s="18" t="s">
        <v>20</v>
      </c>
      <c r="E4" s="18" t="s">
        <v>21</v>
      </c>
      <c r="F4" s="18" t="s">
        <v>22</v>
      </c>
      <c r="G4" s="20" t="s">
        <v>23</v>
      </c>
    </row>
    <row r="5" spans="1:7" ht="71.25" x14ac:dyDescent="0.45">
      <c r="A5" s="18" t="s">
        <v>24</v>
      </c>
      <c r="B5" s="21">
        <v>33307</v>
      </c>
      <c r="C5" s="18" t="s">
        <v>25</v>
      </c>
      <c r="D5" s="18" t="s">
        <v>26</v>
      </c>
      <c r="E5" s="18" t="s">
        <v>27</v>
      </c>
      <c r="F5" s="18" t="s">
        <v>28</v>
      </c>
      <c r="G5" s="20" t="s">
        <v>29</v>
      </c>
    </row>
    <row r="6" spans="1:7" ht="28.5" x14ac:dyDescent="0.45">
      <c r="A6" s="18" t="s">
        <v>30</v>
      </c>
      <c r="B6" s="21">
        <v>36528</v>
      </c>
      <c r="C6" s="18" t="s">
        <v>31</v>
      </c>
      <c r="D6" s="18" t="s">
        <v>32</v>
      </c>
      <c r="E6" s="18" t="s">
        <v>33</v>
      </c>
      <c r="F6" s="18" t="s">
        <v>34</v>
      </c>
      <c r="G6" s="20" t="s">
        <v>35</v>
      </c>
    </row>
    <row r="7" spans="1:7" ht="42.75" x14ac:dyDescent="0.45">
      <c r="A7" s="18" t="s">
        <v>36</v>
      </c>
      <c r="B7" s="18" t="s">
        <v>37</v>
      </c>
      <c r="C7" s="18" t="s">
        <v>38</v>
      </c>
      <c r="D7" s="18" t="s">
        <v>39</v>
      </c>
      <c r="E7" s="18" t="s">
        <v>40</v>
      </c>
      <c r="F7" s="18" t="s">
        <v>41</v>
      </c>
      <c r="G7" s="18" t="s">
        <v>42</v>
      </c>
    </row>
    <row r="8" spans="1:7" ht="71.25" x14ac:dyDescent="0.45">
      <c r="A8" s="18" t="s">
        <v>43</v>
      </c>
      <c r="B8" s="18" t="s">
        <v>44</v>
      </c>
      <c r="C8" s="18" t="s">
        <v>45</v>
      </c>
      <c r="D8" s="18" t="s">
        <v>46</v>
      </c>
      <c r="E8" s="18" t="s">
        <v>47</v>
      </c>
      <c r="F8" s="18" t="s">
        <v>48</v>
      </c>
      <c r="G8" s="20" t="s">
        <v>49</v>
      </c>
    </row>
    <row r="9" spans="1:7" ht="57" x14ac:dyDescent="0.45">
      <c r="A9" s="18" t="s">
        <v>50</v>
      </c>
      <c r="B9" s="18" t="s">
        <v>51</v>
      </c>
      <c r="C9" s="18" t="s">
        <v>52</v>
      </c>
      <c r="D9" s="18" t="s">
        <v>53</v>
      </c>
      <c r="E9" s="18" t="s">
        <v>54</v>
      </c>
      <c r="F9" s="18" t="s">
        <v>55</v>
      </c>
      <c r="G9" s="18" t="s">
        <v>56</v>
      </c>
    </row>
    <row r="10" spans="1:7" ht="42.75" x14ac:dyDescent="0.45">
      <c r="A10" s="18" t="s">
        <v>57</v>
      </c>
      <c r="B10" s="18" t="s">
        <v>58</v>
      </c>
      <c r="C10" s="18" t="s">
        <v>19</v>
      </c>
      <c r="D10" s="18" t="s">
        <v>59</v>
      </c>
      <c r="E10" s="18" t="s">
        <v>54</v>
      </c>
      <c r="F10" s="18" t="s">
        <v>60</v>
      </c>
      <c r="G10" s="20" t="s">
        <v>61</v>
      </c>
    </row>
    <row r="11" spans="1:7" ht="42.75" x14ac:dyDescent="0.45">
      <c r="A11" s="18" t="s">
        <v>62</v>
      </c>
      <c r="B11" s="21">
        <v>43528</v>
      </c>
      <c r="C11" s="18" t="s">
        <v>63</v>
      </c>
      <c r="D11" s="18" t="s">
        <v>64</v>
      </c>
      <c r="E11" s="18" t="s">
        <v>21</v>
      </c>
      <c r="F11" s="18" t="s">
        <v>65</v>
      </c>
      <c r="G11" s="20" t="s">
        <v>66</v>
      </c>
    </row>
    <row r="12" spans="1:7" ht="42.75" x14ac:dyDescent="0.45">
      <c r="A12" s="18" t="s">
        <v>67</v>
      </c>
      <c r="B12" s="18" t="s">
        <v>68</v>
      </c>
      <c r="C12" s="18" t="s">
        <v>69</v>
      </c>
      <c r="D12" s="18" t="s">
        <v>70</v>
      </c>
      <c r="E12" s="18" t="s">
        <v>71</v>
      </c>
      <c r="F12" s="18" t="s">
        <v>72</v>
      </c>
      <c r="G12" s="18" t="s">
        <v>73</v>
      </c>
    </row>
    <row r="13" spans="1:7" ht="57" x14ac:dyDescent="0.45">
      <c r="A13" s="18" t="s">
        <v>74</v>
      </c>
      <c r="B13" s="21">
        <v>44631</v>
      </c>
      <c r="C13" s="18" t="s">
        <v>19</v>
      </c>
      <c r="D13" s="18" t="s">
        <v>75</v>
      </c>
      <c r="E13" s="18" t="s">
        <v>33</v>
      </c>
      <c r="F13" s="18" t="s">
        <v>76</v>
      </c>
      <c r="G13" s="18" t="s">
        <v>77</v>
      </c>
    </row>
    <row r="14" spans="1:7" ht="42.75" x14ac:dyDescent="0.45">
      <c r="A14" s="18" t="s">
        <v>78</v>
      </c>
      <c r="B14" s="18" t="s">
        <v>79</v>
      </c>
      <c r="C14" s="18" t="s">
        <v>80</v>
      </c>
      <c r="D14" s="18" t="s">
        <v>81</v>
      </c>
      <c r="E14" s="18" t="s">
        <v>82</v>
      </c>
      <c r="F14" s="18" t="s">
        <v>83</v>
      </c>
      <c r="G14" s="18" t="s">
        <v>84</v>
      </c>
    </row>
    <row r="15" spans="1:7" ht="42.75" x14ac:dyDescent="0.45">
      <c r="A15" s="18" t="s">
        <v>85</v>
      </c>
      <c r="B15" s="18" t="s">
        <v>86</v>
      </c>
      <c r="C15" s="18" t="s">
        <v>31</v>
      </c>
      <c r="D15" s="18" t="s">
        <v>87</v>
      </c>
      <c r="E15" s="18" t="s">
        <v>88</v>
      </c>
      <c r="F15" s="18" t="s">
        <v>89</v>
      </c>
      <c r="G15" s="20" t="s">
        <v>90</v>
      </c>
    </row>
    <row r="16" spans="1:7" ht="57" x14ac:dyDescent="0.45">
      <c r="A16" s="18" t="s">
        <v>91</v>
      </c>
      <c r="B16" s="18" t="s">
        <v>92</v>
      </c>
      <c r="C16" s="18" t="s">
        <v>93</v>
      </c>
      <c r="D16" s="18" t="s">
        <v>94</v>
      </c>
      <c r="E16" s="18" t="s">
        <v>71</v>
      </c>
      <c r="F16" s="18" t="s">
        <v>95</v>
      </c>
      <c r="G16" s="20" t="s">
        <v>96</v>
      </c>
    </row>
    <row r="17" spans="1:7" ht="42.75" x14ac:dyDescent="0.45">
      <c r="A17" s="18" t="s">
        <v>97</v>
      </c>
      <c r="B17" s="18" t="s">
        <v>98</v>
      </c>
      <c r="C17" s="18" t="s">
        <v>19</v>
      </c>
      <c r="D17" s="18" t="s">
        <v>99</v>
      </c>
      <c r="E17" s="18" t="s">
        <v>100</v>
      </c>
      <c r="F17" s="18" t="s">
        <v>101</v>
      </c>
      <c r="G17" s="20" t="s">
        <v>102</v>
      </c>
    </row>
    <row r="18" spans="1:7" ht="42.75" x14ac:dyDescent="0.45">
      <c r="A18" s="18" t="s">
        <v>103</v>
      </c>
      <c r="B18" s="18" t="s">
        <v>104</v>
      </c>
      <c r="C18" s="18" t="s">
        <v>105</v>
      </c>
      <c r="D18" s="18" t="s">
        <v>106</v>
      </c>
      <c r="E18" s="18" t="s">
        <v>107</v>
      </c>
      <c r="F18" s="18" t="s">
        <v>108</v>
      </c>
      <c r="G18" s="18" t="s">
        <v>109</v>
      </c>
    </row>
    <row r="20" spans="1:7" ht="15.75" x14ac:dyDescent="0.45">
      <c r="A20" s="16" t="s">
        <v>110</v>
      </c>
    </row>
    <row r="22" spans="1:7" ht="28.5" x14ac:dyDescent="0.45">
      <c r="A22" s="17" t="s">
        <v>111</v>
      </c>
      <c r="B22" s="17" t="s">
        <v>112</v>
      </c>
      <c r="C22" s="17" t="s">
        <v>113</v>
      </c>
      <c r="D22" s="17" t="s">
        <v>114</v>
      </c>
      <c r="E22" s="17" t="s">
        <v>115</v>
      </c>
      <c r="F22" s="17" t="s">
        <v>17</v>
      </c>
    </row>
    <row r="23" spans="1:7" ht="42.75" x14ac:dyDescent="0.45">
      <c r="A23" s="18" t="s">
        <v>116</v>
      </c>
      <c r="B23" s="19">
        <v>28126</v>
      </c>
      <c r="C23" s="18" t="s">
        <v>21</v>
      </c>
      <c r="D23" s="18" t="s">
        <v>117</v>
      </c>
      <c r="E23" s="18" t="s">
        <v>118</v>
      </c>
      <c r="F23" s="20" t="s">
        <v>23</v>
      </c>
    </row>
    <row r="24" spans="1:7" ht="42.75" x14ac:dyDescent="0.45">
      <c r="A24" s="18" t="s">
        <v>24</v>
      </c>
      <c r="B24" s="21">
        <v>33307</v>
      </c>
      <c r="C24" s="18" t="s">
        <v>71</v>
      </c>
      <c r="D24" s="18" t="s">
        <v>119</v>
      </c>
      <c r="E24" s="18" t="s">
        <v>120</v>
      </c>
      <c r="F24" s="20" t="s">
        <v>29</v>
      </c>
    </row>
    <row r="25" spans="1:7" ht="28.5" x14ac:dyDescent="0.45">
      <c r="A25" s="18" t="s">
        <v>30</v>
      </c>
      <c r="B25" s="21">
        <v>36528</v>
      </c>
      <c r="C25" s="18" t="s">
        <v>33</v>
      </c>
      <c r="D25" s="18" t="s">
        <v>121</v>
      </c>
      <c r="E25" s="18" t="s">
        <v>122</v>
      </c>
      <c r="F25" s="20" t="s">
        <v>35</v>
      </c>
    </row>
    <row r="26" spans="1:7" ht="42.75" x14ac:dyDescent="0.45">
      <c r="A26" s="18" t="s">
        <v>36</v>
      </c>
      <c r="B26" s="18" t="s">
        <v>37</v>
      </c>
      <c r="C26" s="18" t="s">
        <v>123</v>
      </c>
      <c r="D26" s="18" t="s">
        <v>124</v>
      </c>
      <c r="E26" s="18" t="s">
        <v>125</v>
      </c>
      <c r="F26" s="18" t="s">
        <v>42</v>
      </c>
    </row>
    <row r="27" spans="1:7" ht="71.25" x14ac:dyDescent="0.45">
      <c r="A27" s="18" t="s">
        <v>43</v>
      </c>
      <c r="B27" s="18" t="s">
        <v>44</v>
      </c>
      <c r="C27" s="18" t="s">
        <v>126</v>
      </c>
      <c r="D27" s="18" t="s">
        <v>127</v>
      </c>
      <c r="E27" s="18" t="s">
        <v>128</v>
      </c>
      <c r="F27" s="20" t="s">
        <v>49</v>
      </c>
    </row>
    <row r="28" spans="1:7" ht="42.75" x14ac:dyDescent="0.45">
      <c r="A28" s="18" t="s">
        <v>50</v>
      </c>
      <c r="B28" s="18" t="s">
        <v>51</v>
      </c>
      <c r="C28" s="18" t="s">
        <v>54</v>
      </c>
      <c r="D28" s="18" t="s">
        <v>129</v>
      </c>
      <c r="E28" s="18" t="s">
        <v>130</v>
      </c>
      <c r="F28" s="18" t="s">
        <v>56</v>
      </c>
    </row>
    <row r="29" spans="1:7" ht="42.75" x14ac:dyDescent="0.45">
      <c r="A29" s="18" t="s">
        <v>57</v>
      </c>
      <c r="B29" s="18" t="s">
        <v>58</v>
      </c>
      <c r="C29" s="18" t="s">
        <v>54</v>
      </c>
      <c r="D29" s="18" t="s">
        <v>131</v>
      </c>
      <c r="E29" s="18" t="s">
        <v>132</v>
      </c>
      <c r="F29" s="20" t="s">
        <v>61</v>
      </c>
    </row>
    <row r="30" spans="1:7" ht="42.75" x14ac:dyDescent="0.45">
      <c r="A30" s="18" t="s">
        <v>62</v>
      </c>
      <c r="B30" s="21">
        <v>43528</v>
      </c>
      <c r="C30" s="18" t="s">
        <v>100</v>
      </c>
      <c r="D30" s="18" t="s">
        <v>133</v>
      </c>
      <c r="E30" s="18" t="s">
        <v>134</v>
      </c>
      <c r="F30" s="20" t="s">
        <v>66</v>
      </c>
    </row>
    <row r="31" spans="1:7" ht="42.75" x14ac:dyDescent="0.45">
      <c r="A31" s="18" t="s">
        <v>67</v>
      </c>
      <c r="B31" s="18" t="s">
        <v>68</v>
      </c>
      <c r="C31" s="18" t="s">
        <v>71</v>
      </c>
      <c r="D31" s="18" t="s">
        <v>135</v>
      </c>
      <c r="E31" s="18" t="s">
        <v>136</v>
      </c>
      <c r="F31" s="18" t="s">
        <v>73</v>
      </c>
    </row>
    <row r="32" spans="1:7" ht="42.75" x14ac:dyDescent="0.45">
      <c r="A32" s="18" t="s">
        <v>74</v>
      </c>
      <c r="B32" s="21">
        <v>44631</v>
      </c>
      <c r="C32" s="18" t="s">
        <v>33</v>
      </c>
      <c r="D32" s="18" t="s">
        <v>137</v>
      </c>
      <c r="E32" s="18" t="s">
        <v>138</v>
      </c>
      <c r="F32" s="18" t="s">
        <v>77</v>
      </c>
    </row>
    <row r="33" spans="1:6" ht="42.75" x14ac:dyDescent="0.45">
      <c r="A33" s="18" t="s">
        <v>78</v>
      </c>
      <c r="B33" s="18" t="s">
        <v>79</v>
      </c>
      <c r="C33" s="18" t="s">
        <v>82</v>
      </c>
      <c r="D33" s="18" t="s">
        <v>139</v>
      </c>
      <c r="E33" s="18" t="s">
        <v>140</v>
      </c>
      <c r="F33" s="18" t="s">
        <v>84</v>
      </c>
    </row>
    <row r="34" spans="1:6" ht="42.75" x14ac:dyDescent="0.45">
      <c r="A34" s="18" t="s">
        <v>85</v>
      </c>
      <c r="B34" s="18" t="s">
        <v>86</v>
      </c>
      <c r="C34" s="18" t="s">
        <v>88</v>
      </c>
      <c r="D34" s="18" t="s">
        <v>141</v>
      </c>
      <c r="E34" s="18" t="s">
        <v>142</v>
      </c>
      <c r="F34" s="20" t="s">
        <v>90</v>
      </c>
    </row>
    <row r="35" spans="1:6" ht="42.75" x14ac:dyDescent="0.45">
      <c r="A35" s="18" t="s">
        <v>91</v>
      </c>
      <c r="B35" s="18" t="s">
        <v>92</v>
      </c>
      <c r="C35" s="18" t="s">
        <v>71</v>
      </c>
      <c r="D35" s="18" t="s">
        <v>143</v>
      </c>
      <c r="E35" s="18" t="s">
        <v>144</v>
      </c>
      <c r="F35" s="20" t="s">
        <v>96</v>
      </c>
    </row>
    <row r="36" spans="1:6" ht="42.75" x14ac:dyDescent="0.45">
      <c r="A36" s="18" t="s">
        <v>97</v>
      </c>
      <c r="B36" s="18" t="s">
        <v>98</v>
      </c>
      <c r="C36" s="18" t="s">
        <v>100</v>
      </c>
      <c r="D36" s="18" t="s">
        <v>145</v>
      </c>
      <c r="E36" s="18" t="s">
        <v>146</v>
      </c>
      <c r="F36" s="20" t="s">
        <v>102</v>
      </c>
    </row>
    <row r="37" spans="1:6" ht="42.75" x14ac:dyDescent="0.45">
      <c r="A37" s="18" t="s">
        <v>103</v>
      </c>
      <c r="B37" s="18" t="s">
        <v>104</v>
      </c>
      <c r="C37" s="18" t="s">
        <v>107</v>
      </c>
      <c r="D37" s="18" t="s">
        <v>147</v>
      </c>
      <c r="E37" s="18" t="s">
        <v>148</v>
      </c>
      <c r="F37" s="18" t="s">
        <v>109</v>
      </c>
    </row>
  </sheetData>
  <hyperlinks>
    <hyperlink ref="G4" r:id="rId1" display="https://doi.org/10.1007/s00704-008-0067-1" xr:uid="{E5AD3AE9-93D1-4585-ACCD-C50BC3CFAAE1}"/>
    <hyperlink ref="G5" r:id="rId2" display="https://doi.org/10.1016/S0921-8181(98)00017-9" xr:uid="{91A502B2-73AA-45E4-9F5A-9F50B2BC4E96}"/>
    <hyperlink ref="G6" r:id="rId3" display="https://reliefweb.int/report/malawi/southern-africa-floods-update-3-jan-2000" xr:uid="{25704679-72A8-4594-9F8A-D503B760E4DD}"/>
    <hyperlink ref="G8" r:id="rId4" display="https://reliefweb.int/report/malawi/southern-africa-tropical-storm-delfina-update-5-jan-2003" xr:uid="{4AB4A9F4-26AA-490E-9817-69A6352AB835}"/>
    <hyperlink ref="G10" r:id="rId5" display="https://reliefweb.int/report/malawi/southern-africa-cyclone-dineo-update-17-feb-2017" xr:uid="{F6BFCADD-0EA9-4831-BCF6-459139060E25}"/>
    <hyperlink ref="G11" r:id="rId6" display="https://www.preventionweb.net/news/facts-cyclone-idais-effect-malawi" xr:uid="{025A92E9-1067-459F-888F-FB664322B262}"/>
    <hyperlink ref="G15" r:id="rId7" display="https://www.worlddata.info/africa/malawi/cyclones.php" xr:uid="{F18F9D01-29C7-40F9-B445-97D3FE372176}"/>
    <hyperlink ref="G16" r:id="rId8" display="https://reliefweb.int/report/malawi/southern-africa-tropical-cyclone-chido-update-15-dec-2024" xr:uid="{D28BDFA8-8A9D-49F4-961C-58A60231FCC0}"/>
    <hyperlink ref="G17" r:id="rId9" display="https://www.newsweek.com/deadly-cyclone-dikeledi-claims-lives-2025" xr:uid="{164417E6-82F2-4851-A37D-6042551F9F39}"/>
    <hyperlink ref="F23" r:id="rId10" display="https://doi.org/10.1007/s00704-008-0067-1" xr:uid="{957E0150-4B03-402C-9C57-13A763B8EAEF}"/>
    <hyperlink ref="F24" r:id="rId11" display="https://doi.org/10.1016/S0921-8181(98)00017-9" xr:uid="{0545945C-4723-451F-89D2-D7C6A1964F67}"/>
    <hyperlink ref="F25" r:id="rId12" display="https://reliefweb.int/report/malawi/southern-africa-floods-update-3-jan-2000" xr:uid="{EB3C1AE0-D754-409D-9835-305827EF5869}"/>
    <hyperlink ref="F27" r:id="rId13" display="https://reliefweb.int/report/malawi/southern-africa-tropical-storm-delfina-update-5-jan-2003" xr:uid="{EEC86887-5A5F-4429-9C47-68C3E7B1D36B}"/>
    <hyperlink ref="F29" r:id="rId14" display="https://reliefweb.int/report/malawi/southern-africa-cyclone-dineo-update-17-feb-2017" xr:uid="{01094626-7CDB-4D69-BDD9-8441F6072245}"/>
    <hyperlink ref="F30" r:id="rId15" display="https://www.preventionweb.net/news/facts-cyclone-idais-effect-malawi" xr:uid="{1CC4A3C3-9119-4B48-A906-1EB6319FE4AA}"/>
    <hyperlink ref="F34" r:id="rId16" display="https://www.worlddata.info/africa/malawi/cyclones.php" xr:uid="{40C8ACA4-6AD5-4C31-8627-51258475E111}"/>
    <hyperlink ref="F35" r:id="rId17" display="https://reliefweb.int/report/malawi/southern-africa-tropical-cyclone-chido-update-15-dec-2024" xr:uid="{6FD8334D-482A-4B63-81B1-3E79B01BBB10}"/>
    <hyperlink ref="F36" r:id="rId18" display="https://www.newsweek.com/deadly-cyclone-dikeledi-claims-lives-2025" xr:uid="{A2B1D237-6EEF-444B-BAC7-8692CF891EE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BF11B-DF15-48ED-98E9-669A662B1FB4}">
  <dimension ref="A1:B16"/>
  <sheetViews>
    <sheetView tabSelected="1" topLeftCell="A9" workbookViewId="0">
      <selection activeCell="H16" sqref="H16"/>
    </sheetView>
  </sheetViews>
  <sheetFormatPr defaultRowHeight="14.25" x14ac:dyDescent="0.45"/>
  <cols>
    <col min="1" max="1" width="10.19921875" bestFit="1" customWidth="1"/>
    <col min="2" max="2" width="17.86328125" customWidth="1"/>
  </cols>
  <sheetData>
    <row r="1" spans="1:2" x14ac:dyDescent="0.45">
      <c r="A1" s="17" t="s">
        <v>0</v>
      </c>
      <c r="B1" s="17" t="s">
        <v>149</v>
      </c>
    </row>
    <row r="2" spans="1:2" ht="71.25" x14ac:dyDescent="0.45">
      <c r="A2" s="22">
        <v>28140</v>
      </c>
      <c r="B2" s="18" t="s">
        <v>18</v>
      </c>
    </row>
    <row r="3" spans="1:2" ht="57" x14ac:dyDescent="0.45">
      <c r="A3" s="22">
        <v>33307</v>
      </c>
      <c r="B3" s="18" t="s">
        <v>24</v>
      </c>
    </row>
    <row r="4" spans="1:2" ht="42.75" x14ac:dyDescent="0.45">
      <c r="A4" s="22">
        <v>36528</v>
      </c>
      <c r="B4" s="18" t="s">
        <v>30</v>
      </c>
    </row>
    <row r="5" spans="1:2" ht="28.5" x14ac:dyDescent="0.45">
      <c r="A5" s="22">
        <v>36578</v>
      </c>
      <c r="B5" s="18" t="s">
        <v>36</v>
      </c>
    </row>
    <row r="6" spans="1:2" ht="42.75" x14ac:dyDescent="0.45">
      <c r="A6" s="22">
        <v>37621</v>
      </c>
      <c r="B6" s="18" t="s">
        <v>43</v>
      </c>
    </row>
    <row r="7" spans="1:2" ht="57" x14ac:dyDescent="0.45">
      <c r="A7" s="22">
        <v>40929</v>
      </c>
      <c r="B7" s="18" t="s">
        <v>50</v>
      </c>
    </row>
    <row r="8" spans="1:2" ht="28.5" x14ac:dyDescent="0.45">
      <c r="A8" s="22">
        <v>42781</v>
      </c>
      <c r="B8" s="18" t="s">
        <v>57</v>
      </c>
    </row>
    <row r="9" spans="1:2" ht="28.5" x14ac:dyDescent="0.45">
      <c r="A9" s="22">
        <v>43528</v>
      </c>
      <c r="B9" s="18" t="s">
        <v>62</v>
      </c>
    </row>
    <row r="10" spans="1:2" ht="28.5" x14ac:dyDescent="0.45">
      <c r="A10" s="22">
        <v>44585</v>
      </c>
      <c r="B10" s="18" t="s">
        <v>67</v>
      </c>
    </row>
    <row r="11" spans="1:2" ht="28.5" x14ac:dyDescent="0.45">
      <c r="A11" s="22">
        <v>44631</v>
      </c>
      <c r="B11" s="18" t="s">
        <v>74</v>
      </c>
    </row>
    <row r="12" spans="1:2" ht="28.5" x14ac:dyDescent="0.45">
      <c r="A12" s="22">
        <v>44981</v>
      </c>
      <c r="B12" s="18" t="s">
        <v>78</v>
      </c>
    </row>
    <row r="13" spans="1:2" ht="42.75" x14ac:dyDescent="0.45">
      <c r="A13" s="22">
        <v>45361</v>
      </c>
      <c r="B13" s="18" t="s">
        <v>85</v>
      </c>
    </row>
    <row r="14" spans="1:2" ht="28.5" x14ac:dyDescent="0.45">
      <c r="A14" s="22">
        <v>45640</v>
      </c>
      <c r="B14" s="18" t="s">
        <v>91</v>
      </c>
    </row>
    <row r="15" spans="1:2" ht="28.5" x14ac:dyDescent="0.45">
      <c r="A15" s="22">
        <v>45670</v>
      </c>
      <c r="B15" s="18" t="s">
        <v>97</v>
      </c>
    </row>
    <row r="16" spans="1:2" ht="42.75" x14ac:dyDescent="0.45">
      <c r="A16" s="22">
        <v>45726</v>
      </c>
      <c r="B16" s="18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C159-5593-4BF2-9D5A-8692B8DD455B}">
  <dimension ref="A1:F50"/>
  <sheetViews>
    <sheetView topLeftCell="A19" workbookViewId="0">
      <selection activeCell="A2" sqref="A2"/>
    </sheetView>
  </sheetViews>
  <sheetFormatPr defaultRowHeight="14.25" x14ac:dyDescent="0.45"/>
  <cols>
    <col min="1" max="1" width="11.6640625" bestFit="1" customWidth="1"/>
    <col min="2" max="2" width="9.1328125" bestFit="1" customWidth="1"/>
    <col min="3" max="3" width="9.3984375" bestFit="1" customWidth="1"/>
    <col min="4" max="4" width="13.33203125" bestFit="1" customWidth="1"/>
    <col min="5" max="5" width="14.33203125" bestFit="1" customWidth="1"/>
    <col min="6" max="6" width="11.796875" bestFit="1" customWidth="1"/>
  </cols>
  <sheetData>
    <row r="1" spans="1:6" x14ac:dyDescent="0.45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6" x14ac:dyDescent="0.45">
      <c r="A2">
        <v>616.4</v>
      </c>
      <c r="B2">
        <v>0</v>
      </c>
      <c r="C2" s="4">
        <v>0</v>
      </c>
      <c r="D2" s="11">
        <v>0</v>
      </c>
      <c r="E2" s="11">
        <v>0</v>
      </c>
    </row>
    <row r="3" spans="1:6" x14ac:dyDescent="0.45">
      <c r="A3">
        <v>616.5</v>
      </c>
      <c r="B3">
        <v>0.10000000000002274</v>
      </c>
      <c r="C3" s="4">
        <v>66.977999999999994</v>
      </c>
      <c r="D3" s="11">
        <v>66978000</v>
      </c>
      <c r="E3" s="11">
        <v>6696164.7949218703</v>
      </c>
    </row>
    <row r="4" spans="1:6" x14ac:dyDescent="0.45">
      <c r="A4">
        <v>617</v>
      </c>
      <c r="B4">
        <v>0.60000000000002274</v>
      </c>
      <c r="C4" s="4">
        <v>375.8571</v>
      </c>
      <c r="D4" s="11">
        <v>375857100</v>
      </c>
      <c r="E4" s="11">
        <v>130511727.90527301</v>
      </c>
    </row>
    <row r="5" spans="1:6" x14ac:dyDescent="0.45">
      <c r="A5">
        <v>617.5</v>
      </c>
      <c r="B5">
        <v>1.1000000000000227</v>
      </c>
      <c r="C5" s="4">
        <v>595.73339999999996</v>
      </c>
      <c r="D5" s="11">
        <v>595733400</v>
      </c>
      <c r="E5" s="11">
        <v>396441884.28955001</v>
      </c>
      <c r="F5" s="12"/>
    </row>
    <row r="6" spans="1:6" x14ac:dyDescent="0.45">
      <c r="A6">
        <v>618</v>
      </c>
      <c r="B6">
        <v>1.6000000000000227</v>
      </c>
      <c r="C6" s="4">
        <v>737.89829999999995</v>
      </c>
      <c r="D6" s="11">
        <v>737898300</v>
      </c>
      <c r="E6" s="11">
        <v>736001437.60986304</v>
      </c>
    </row>
    <row r="7" spans="1:6" x14ac:dyDescent="0.45">
      <c r="A7">
        <v>618.5</v>
      </c>
      <c r="B7">
        <v>2.1000000000000227</v>
      </c>
      <c r="C7" s="4">
        <v>1091.1276</v>
      </c>
      <c r="D7" s="11">
        <v>1091127600</v>
      </c>
      <c r="E7" s="11">
        <v>1219854296.8872001</v>
      </c>
    </row>
    <row r="8" spans="1:6" x14ac:dyDescent="0.45">
      <c r="A8">
        <v>619</v>
      </c>
      <c r="B8">
        <v>2.6000000000000227</v>
      </c>
      <c r="C8" s="4">
        <v>1147.4073000000001</v>
      </c>
      <c r="D8" s="11">
        <v>1147407300</v>
      </c>
      <c r="E8" s="11">
        <v>1784180989.81933</v>
      </c>
    </row>
    <row r="9" spans="1:6" x14ac:dyDescent="0.45">
      <c r="A9">
        <v>619.5</v>
      </c>
      <c r="B9">
        <v>3.1000000000000227</v>
      </c>
      <c r="C9" s="4">
        <v>1214.3906999999999</v>
      </c>
      <c r="D9" s="11">
        <v>1214390700</v>
      </c>
      <c r="E9" s="11">
        <v>2371856313.7573199</v>
      </c>
    </row>
    <row r="10" spans="1:6" x14ac:dyDescent="0.45">
      <c r="A10">
        <v>620</v>
      </c>
      <c r="B10">
        <v>3.6000000000000227</v>
      </c>
      <c r="C10" s="4">
        <v>1494.8604</v>
      </c>
      <c r="D10" s="11">
        <v>1494860400</v>
      </c>
      <c r="E10" s="11">
        <v>3039962947.0641999</v>
      </c>
    </row>
    <row r="11" spans="1:6" x14ac:dyDescent="0.45">
      <c r="A11">
        <v>620.5</v>
      </c>
      <c r="B11">
        <v>4.1000000000000227</v>
      </c>
      <c r="C11" s="4">
        <v>1699.1973</v>
      </c>
      <c r="D11" s="11">
        <v>1699197300</v>
      </c>
      <c r="E11" s="11">
        <v>3843031847.7172799</v>
      </c>
    </row>
    <row r="12" spans="1:6" x14ac:dyDescent="0.45">
      <c r="A12">
        <v>621</v>
      </c>
      <c r="B12">
        <v>4.6000000000000227</v>
      </c>
      <c r="C12" s="4">
        <v>1851.4160999999999</v>
      </c>
      <c r="D12" s="11">
        <v>1851416100</v>
      </c>
      <c r="E12" s="11">
        <v>4739317267.8955002</v>
      </c>
    </row>
    <row r="13" spans="1:6" x14ac:dyDescent="0.45">
      <c r="A13">
        <v>621.5</v>
      </c>
      <c r="B13">
        <v>5.1000000000000227</v>
      </c>
      <c r="C13" s="4">
        <v>1920.7746</v>
      </c>
      <c r="D13" s="11">
        <v>1920774600</v>
      </c>
      <c r="E13" s="11">
        <v>5684184701.7517004</v>
      </c>
    </row>
    <row r="14" spans="1:6" x14ac:dyDescent="0.45">
      <c r="A14">
        <v>622</v>
      </c>
      <c r="B14">
        <v>5.6000000000000227</v>
      </c>
      <c r="C14" s="4">
        <v>1965.7692</v>
      </c>
      <c r="D14" s="11">
        <v>1965769200</v>
      </c>
      <c r="E14" s="11">
        <v>6656503107.8430099</v>
      </c>
    </row>
    <row r="15" spans="1:6" x14ac:dyDescent="0.45">
      <c r="A15">
        <v>622.5</v>
      </c>
      <c r="B15">
        <v>6.1000000000000227</v>
      </c>
      <c r="C15" s="4">
        <v>2002.0842</v>
      </c>
      <c r="D15" s="11">
        <v>2002084200</v>
      </c>
      <c r="E15" s="11">
        <v>7648712609.6557598</v>
      </c>
    </row>
    <row r="16" spans="1:6" x14ac:dyDescent="0.45">
      <c r="A16">
        <v>623</v>
      </c>
      <c r="B16">
        <v>6.6000000000000227</v>
      </c>
      <c r="C16" s="4">
        <v>2037.4983</v>
      </c>
      <c r="D16" s="11">
        <v>2037498300</v>
      </c>
      <c r="E16" s="11">
        <v>8659060545.5749493</v>
      </c>
    </row>
    <row r="17" spans="1:5" x14ac:dyDescent="0.45">
      <c r="A17">
        <v>623.5</v>
      </c>
      <c r="B17">
        <v>7.1000000000000227</v>
      </c>
      <c r="C17" s="4">
        <v>2068.8498</v>
      </c>
      <c r="D17" s="11">
        <v>2068849800</v>
      </c>
      <c r="E17" s="11">
        <v>9685814481.8481407</v>
      </c>
    </row>
    <row r="18" spans="1:5" x14ac:dyDescent="0.45">
      <c r="A18">
        <v>624</v>
      </c>
      <c r="B18">
        <v>7.6000000000000227</v>
      </c>
      <c r="C18" s="4">
        <v>2097.8045999999999</v>
      </c>
      <c r="D18" s="11">
        <v>2097804600</v>
      </c>
      <c r="E18" s="11">
        <v>10727743226.385401</v>
      </c>
    </row>
    <row r="19" spans="1:5" x14ac:dyDescent="0.45">
      <c r="A19">
        <v>624.5</v>
      </c>
      <c r="B19">
        <v>8.1000000000000227</v>
      </c>
      <c r="C19" s="4">
        <v>2125.2618000000002</v>
      </c>
      <c r="D19" s="11">
        <v>2125261800</v>
      </c>
      <c r="E19" s="11">
        <v>11783758964.556801</v>
      </c>
    </row>
    <row r="20" spans="1:5" x14ac:dyDescent="0.45">
      <c r="A20">
        <v>625</v>
      </c>
      <c r="B20">
        <v>8.6000000000000227</v>
      </c>
      <c r="C20" s="4">
        <v>2150.7921000000001</v>
      </c>
      <c r="D20" s="11">
        <v>2150792100</v>
      </c>
      <c r="E20" s="11">
        <v>12852920465.936199</v>
      </c>
    </row>
    <row r="21" spans="1:5" x14ac:dyDescent="0.45">
      <c r="A21">
        <v>625.5</v>
      </c>
      <c r="B21">
        <v>9.1000000000000227</v>
      </c>
      <c r="C21" s="4">
        <v>2175.3494999999998</v>
      </c>
      <c r="D21" s="11">
        <v>2175349500</v>
      </c>
      <c r="E21" s="11">
        <v>13934639225.939899</v>
      </c>
    </row>
    <row r="22" spans="1:5" x14ac:dyDescent="0.45">
      <c r="A22">
        <v>626</v>
      </c>
      <c r="B22">
        <v>9.6000000000000227</v>
      </c>
      <c r="C22" s="4">
        <v>2198.7882</v>
      </c>
      <c r="D22" s="11">
        <v>2198788200</v>
      </c>
      <c r="E22" s="11">
        <v>15028228335.497999</v>
      </c>
    </row>
    <row r="23" spans="1:5" x14ac:dyDescent="0.45">
      <c r="A23">
        <v>626.5</v>
      </c>
      <c r="B23">
        <v>10.100000000000023</v>
      </c>
      <c r="C23" s="4">
        <v>2222.6282999999999</v>
      </c>
      <c r="D23" s="11">
        <v>2222628300</v>
      </c>
      <c r="E23" s="11">
        <v>16133751677.581699</v>
      </c>
    </row>
    <row r="24" spans="1:5" x14ac:dyDescent="0.45">
      <c r="A24">
        <v>627</v>
      </c>
      <c r="B24">
        <v>10.600000000000023</v>
      </c>
      <c r="C24" s="4">
        <v>2245.3155000000002</v>
      </c>
      <c r="D24" s="11">
        <v>2245315500</v>
      </c>
      <c r="E24" s="11">
        <v>17250927175.250198</v>
      </c>
    </row>
    <row r="25" spans="1:5" x14ac:dyDescent="0.45">
      <c r="A25">
        <v>627.5</v>
      </c>
      <c r="B25">
        <v>11.100000000000023</v>
      </c>
      <c r="C25" s="4">
        <v>2266.4106000000002</v>
      </c>
      <c r="D25" s="11">
        <v>2266410600</v>
      </c>
      <c r="E25" s="11">
        <v>18379027732.269199</v>
      </c>
    </row>
    <row r="26" spans="1:5" x14ac:dyDescent="0.45">
      <c r="A26">
        <v>628</v>
      </c>
      <c r="B26">
        <v>11.600000000000023</v>
      </c>
      <c r="C26" s="4">
        <v>2285.9117999999999</v>
      </c>
      <c r="D26" s="11">
        <v>2285911800</v>
      </c>
      <c r="E26" s="11">
        <v>19517241729.6936</v>
      </c>
    </row>
    <row r="27" spans="1:5" x14ac:dyDescent="0.45">
      <c r="A27">
        <v>628.5</v>
      </c>
      <c r="B27">
        <v>12.100000000000023</v>
      </c>
      <c r="C27" s="4">
        <v>2304.1547999999998</v>
      </c>
      <c r="D27" s="11">
        <v>2304154800</v>
      </c>
      <c r="E27" s="11">
        <v>20664851048.492401</v>
      </c>
    </row>
    <row r="28" spans="1:5" x14ac:dyDescent="0.45">
      <c r="A28">
        <v>629</v>
      </c>
      <c r="B28">
        <v>12.600000000000023</v>
      </c>
      <c r="C28" s="4">
        <v>2325.0293999999999</v>
      </c>
      <c r="D28" s="11">
        <v>2325029400</v>
      </c>
      <c r="E28" s="11">
        <v>21822155713.531399</v>
      </c>
    </row>
    <row r="29" spans="1:5" x14ac:dyDescent="0.45">
      <c r="A29">
        <v>629.5</v>
      </c>
      <c r="B29">
        <v>13.100000000000023</v>
      </c>
      <c r="C29" s="4">
        <v>2345.8229999999999</v>
      </c>
      <c r="D29" s="11">
        <v>2345823000</v>
      </c>
      <c r="E29" s="11">
        <v>22989957217.437698</v>
      </c>
    </row>
    <row r="30" spans="1:5" x14ac:dyDescent="0.45">
      <c r="A30">
        <v>630</v>
      </c>
      <c r="B30">
        <v>13.600000000000023</v>
      </c>
      <c r="C30" s="4">
        <v>2366.7003</v>
      </c>
      <c r="D30" s="11">
        <v>2366700300</v>
      </c>
      <c r="E30" s="11">
        <v>24168196759.350498</v>
      </c>
    </row>
    <row r="31" spans="1:5" x14ac:dyDescent="0.45">
      <c r="A31">
        <v>630.5</v>
      </c>
      <c r="B31">
        <v>14.100000000000023</v>
      </c>
      <c r="C31" s="4">
        <v>2388.1248000000001</v>
      </c>
      <c r="D31" s="11">
        <v>2388124800</v>
      </c>
      <c r="E31" s="11">
        <v>25357024447.723301</v>
      </c>
    </row>
    <row r="32" spans="1:5" x14ac:dyDescent="0.45">
      <c r="A32">
        <v>631</v>
      </c>
      <c r="B32">
        <v>14.600000000000023</v>
      </c>
      <c r="C32" s="4">
        <v>2409.1758</v>
      </c>
      <c r="D32" s="11">
        <v>2409175800</v>
      </c>
      <c r="E32" s="11">
        <v>26556554930.767799</v>
      </c>
    </row>
    <row r="33" spans="1:5" x14ac:dyDescent="0.45">
      <c r="A33">
        <v>631.5</v>
      </c>
      <c r="B33">
        <v>15.100000000000023</v>
      </c>
      <c r="C33" s="4">
        <v>2442.924</v>
      </c>
      <c r="D33" s="11">
        <v>2442924000</v>
      </c>
      <c r="E33" s="11">
        <v>27772615401.251202</v>
      </c>
    </row>
    <row r="34" spans="1:5" x14ac:dyDescent="0.45">
      <c r="A34">
        <v>632</v>
      </c>
      <c r="B34">
        <v>15.600000000000023</v>
      </c>
      <c r="C34" s="4">
        <v>2484.8334</v>
      </c>
      <c r="D34" s="11">
        <v>2484833400</v>
      </c>
      <c r="E34" s="11">
        <v>29005736941.9006</v>
      </c>
    </row>
    <row r="35" spans="1:5" x14ac:dyDescent="0.45">
      <c r="A35">
        <v>632.5</v>
      </c>
      <c r="B35">
        <v>16.100000000000023</v>
      </c>
      <c r="C35" s="4">
        <v>2516.8454999999999</v>
      </c>
      <c r="D35" s="11">
        <v>2516845500</v>
      </c>
      <c r="E35" s="11">
        <v>30256648329.968201</v>
      </c>
    </row>
    <row r="36" spans="1:5" x14ac:dyDescent="0.45">
      <c r="A36">
        <v>633</v>
      </c>
      <c r="B36">
        <v>16.600000000000023</v>
      </c>
      <c r="C36" s="4">
        <v>2545.1469000000002</v>
      </c>
      <c r="D36" s="11">
        <v>2545146900</v>
      </c>
      <c r="E36" s="11">
        <v>31522246315.246498</v>
      </c>
    </row>
    <row r="37" spans="1:5" x14ac:dyDescent="0.45">
      <c r="A37">
        <v>633.5</v>
      </c>
      <c r="B37">
        <v>17.100000000000023</v>
      </c>
      <c r="C37" s="4">
        <v>2572.4259000000002</v>
      </c>
      <c r="D37" s="11">
        <v>2572425900</v>
      </c>
      <c r="E37" s="11">
        <v>32801851720.9533</v>
      </c>
    </row>
    <row r="38" spans="1:5" x14ac:dyDescent="0.45">
      <c r="A38">
        <v>634</v>
      </c>
      <c r="B38">
        <v>17.600000000000023</v>
      </c>
      <c r="C38" s="4">
        <v>2598.0830999999998</v>
      </c>
      <c r="D38" s="11">
        <v>2598083100</v>
      </c>
      <c r="E38" s="11">
        <v>34094702756.25</v>
      </c>
    </row>
    <row r="39" spans="1:5" x14ac:dyDescent="0.45">
      <c r="A39">
        <v>634.5</v>
      </c>
      <c r="B39">
        <v>18.100000000000023</v>
      </c>
      <c r="C39" s="4">
        <v>2623.0895999999998</v>
      </c>
      <c r="D39" s="11">
        <v>2623089600</v>
      </c>
      <c r="E39" s="11">
        <v>35400087232.7453</v>
      </c>
    </row>
    <row r="40" spans="1:5" x14ac:dyDescent="0.45">
      <c r="A40">
        <v>635</v>
      </c>
      <c r="B40">
        <v>18.600000000000023</v>
      </c>
      <c r="C40" s="4">
        <v>2648.4659999999999</v>
      </c>
      <c r="D40" s="11">
        <v>2648466000</v>
      </c>
      <c r="E40" s="11">
        <v>36718163034.301697</v>
      </c>
    </row>
    <row r="41" spans="1:5" x14ac:dyDescent="0.45">
      <c r="A41">
        <v>635.5</v>
      </c>
      <c r="B41">
        <v>19.100000000000023</v>
      </c>
      <c r="C41" s="4">
        <v>2672.9090999999999</v>
      </c>
      <c r="D41" s="11">
        <v>2672909100</v>
      </c>
      <c r="E41" s="11">
        <v>38048683359.100304</v>
      </c>
    </row>
    <row r="42" spans="1:5" x14ac:dyDescent="0.45">
      <c r="A42">
        <v>636</v>
      </c>
      <c r="B42">
        <v>19.600000000000023</v>
      </c>
      <c r="C42" s="4">
        <v>2697.4115999999999</v>
      </c>
      <c r="D42" s="11">
        <v>2697411600</v>
      </c>
      <c r="E42" s="11">
        <v>39391335876.599098</v>
      </c>
    </row>
    <row r="43" spans="1:5" x14ac:dyDescent="0.45">
      <c r="A43">
        <v>636.5</v>
      </c>
      <c r="B43">
        <v>20.100000000000023</v>
      </c>
      <c r="C43" s="4">
        <v>2720.9987999999998</v>
      </c>
      <c r="D43" s="11">
        <v>2720998800</v>
      </c>
      <c r="E43" s="11">
        <v>40746121074.041702</v>
      </c>
    </row>
    <row r="44" spans="1:5" x14ac:dyDescent="0.45">
      <c r="A44">
        <v>637</v>
      </c>
      <c r="B44">
        <v>20.600000000000023</v>
      </c>
      <c r="C44" s="4">
        <v>2744.1396</v>
      </c>
      <c r="D44" s="11">
        <v>2744139600</v>
      </c>
      <c r="E44" s="11">
        <v>42112526033.221397</v>
      </c>
    </row>
    <row r="45" spans="1:5" x14ac:dyDescent="0.45">
      <c r="A45">
        <v>637.5</v>
      </c>
      <c r="B45">
        <v>21.100000000000023</v>
      </c>
      <c r="C45" s="4">
        <v>2766.7593000000002</v>
      </c>
      <c r="D45" s="11">
        <v>2766759300</v>
      </c>
      <c r="E45" s="11">
        <v>43490402581.530701</v>
      </c>
    </row>
    <row r="46" spans="1:5" x14ac:dyDescent="0.45">
      <c r="A46">
        <v>638</v>
      </c>
      <c r="B46">
        <v>21.600000000000023</v>
      </c>
      <c r="C46" s="4">
        <v>2789.7903000000001</v>
      </c>
      <c r="D46" s="11">
        <v>2789790300</v>
      </c>
      <c r="E46" s="11">
        <v>44879607256.530701</v>
      </c>
    </row>
    <row r="47" spans="1:5" x14ac:dyDescent="0.45">
      <c r="A47">
        <v>638.5</v>
      </c>
      <c r="B47">
        <v>22.100000000000023</v>
      </c>
      <c r="C47" s="4">
        <v>2813.6349</v>
      </c>
      <c r="D47" s="11">
        <v>2813634900</v>
      </c>
      <c r="E47" s="11">
        <v>46280569204.1931</v>
      </c>
    </row>
    <row r="48" spans="1:5" x14ac:dyDescent="0.45">
      <c r="A48">
        <v>639</v>
      </c>
      <c r="B48">
        <v>22.600000000000023</v>
      </c>
      <c r="C48" s="4">
        <v>2836.8305999999998</v>
      </c>
      <c r="D48" s="11">
        <v>2836830600</v>
      </c>
      <c r="E48" s="11">
        <v>47693314671.514801</v>
      </c>
    </row>
    <row r="49" spans="1:5" x14ac:dyDescent="0.45">
      <c r="A49">
        <v>639.5</v>
      </c>
      <c r="B49">
        <v>23.100000000000023</v>
      </c>
      <c r="C49" s="4">
        <v>2860.7984999999999</v>
      </c>
      <c r="D49" s="11">
        <v>2860798500</v>
      </c>
      <c r="E49" s="11">
        <v>49117852876.190102</v>
      </c>
    </row>
    <row r="50" spans="1:5" ht="11.45" customHeight="1" x14ac:dyDescent="0.45">
      <c r="A50">
        <v>640</v>
      </c>
      <c r="B50">
        <v>23.600000000000023</v>
      </c>
      <c r="C50" s="4">
        <v>2884.5396000000001</v>
      </c>
      <c r="D50" s="11">
        <v>2884539600</v>
      </c>
      <c r="E50" s="11">
        <v>50554268249.633698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B6BC5-44BF-4296-AFFA-CB8411CEA45F}">
  <dimension ref="A1:B87"/>
  <sheetViews>
    <sheetView topLeftCell="A58" workbookViewId="0">
      <selection activeCell="B87" sqref="A87:B87"/>
    </sheetView>
  </sheetViews>
  <sheetFormatPr defaultRowHeight="14.25" x14ac:dyDescent="0.45"/>
  <cols>
    <col min="1" max="1" width="17.59765625" bestFit="1" customWidth="1"/>
  </cols>
  <sheetData>
    <row r="1" spans="1:2" x14ac:dyDescent="0.45">
      <c r="A1" t="s">
        <v>0</v>
      </c>
      <c r="B1" t="s">
        <v>10</v>
      </c>
    </row>
    <row r="2" spans="1:2" x14ac:dyDescent="0.45">
      <c r="A2" s="5">
        <v>43252</v>
      </c>
      <c r="B2" s="4">
        <v>0.94336150515505324</v>
      </c>
    </row>
    <row r="3" spans="1:2" x14ac:dyDescent="0.45">
      <c r="A3" s="5">
        <v>43282</v>
      </c>
      <c r="B3" s="4"/>
    </row>
    <row r="4" spans="1:2" x14ac:dyDescent="0.45">
      <c r="A4" s="5">
        <v>43313</v>
      </c>
      <c r="B4" s="4"/>
    </row>
    <row r="5" spans="1:2" x14ac:dyDescent="0.45">
      <c r="A5" s="5">
        <v>43344</v>
      </c>
      <c r="B5" s="4"/>
    </row>
    <row r="6" spans="1:2" x14ac:dyDescent="0.45">
      <c r="A6" s="5">
        <v>43374</v>
      </c>
      <c r="B6" s="4"/>
    </row>
    <row r="7" spans="1:2" x14ac:dyDescent="0.45">
      <c r="A7" s="5">
        <v>43405</v>
      </c>
      <c r="B7" s="4"/>
    </row>
    <row r="8" spans="1:2" x14ac:dyDescent="0.45">
      <c r="A8" s="5">
        <v>43435</v>
      </c>
      <c r="B8" s="4">
        <v>1.5045685566110478</v>
      </c>
    </row>
    <row r="9" spans="1:2" x14ac:dyDescent="0.45">
      <c r="A9" s="5">
        <v>43466</v>
      </c>
      <c r="B9" s="4">
        <v>1.5322518279200494</v>
      </c>
    </row>
    <row r="10" spans="1:2" x14ac:dyDescent="0.45">
      <c r="A10" s="5">
        <v>43497</v>
      </c>
      <c r="B10" s="4">
        <v>1.0062202508960354</v>
      </c>
    </row>
    <row r="11" spans="1:2" x14ac:dyDescent="0.45">
      <c r="A11" s="5">
        <v>43525</v>
      </c>
      <c r="B11" s="4">
        <v>1.6324055642908206</v>
      </c>
    </row>
    <row r="12" spans="1:2" x14ac:dyDescent="0.45">
      <c r="A12" s="5">
        <v>43556</v>
      </c>
      <c r="B12" s="4">
        <v>1.9658115601183681</v>
      </c>
    </row>
    <row r="13" spans="1:2" x14ac:dyDescent="0.45">
      <c r="A13" s="5">
        <v>43586</v>
      </c>
      <c r="B13" s="4">
        <v>1.8984691668202913</v>
      </c>
    </row>
    <row r="14" spans="1:2" x14ac:dyDescent="0.45">
      <c r="A14" s="5">
        <v>43617</v>
      </c>
      <c r="B14" s="4">
        <v>1.7553954740629933</v>
      </c>
    </row>
    <row r="15" spans="1:2" x14ac:dyDescent="0.45">
      <c r="A15" s="5">
        <v>43647</v>
      </c>
      <c r="B15" s="4">
        <v>1.6535593526028833</v>
      </c>
    </row>
    <row r="16" spans="1:2" x14ac:dyDescent="0.45">
      <c r="A16" s="5">
        <v>43678</v>
      </c>
      <c r="B16" s="4">
        <v>1.6742196249888366</v>
      </c>
    </row>
    <row r="17" spans="1:2" x14ac:dyDescent="0.45">
      <c r="A17" s="5">
        <v>43709</v>
      </c>
      <c r="B17" s="4">
        <v>1.3598723181103196</v>
      </c>
    </row>
    <row r="18" spans="1:2" x14ac:dyDescent="0.45">
      <c r="A18" s="5">
        <v>43739</v>
      </c>
      <c r="B18" s="4">
        <v>1.2808209467117422</v>
      </c>
    </row>
    <row r="19" spans="1:2" x14ac:dyDescent="0.45">
      <c r="A19" s="5">
        <v>43770</v>
      </c>
      <c r="B19" s="4">
        <v>1.2030422466847313</v>
      </c>
    </row>
    <row r="20" spans="1:2" x14ac:dyDescent="0.45">
      <c r="A20" s="5">
        <v>43800</v>
      </c>
      <c r="B20" s="4">
        <v>1.115090274172303</v>
      </c>
    </row>
    <row r="21" spans="1:2" x14ac:dyDescent="0.45">
      <c r="A21" s="5">
        <v>43831</v>
      </c>
      <c r="B21" s="4">
        <v>1.8856992644180082</v>
      </c>
    </row>
    <row r="22" spans="1:2" x14ac:dyDescent="0.45">
      <c r="A22" s="5">
        <v>43862</v>
      </c>
      <c r="B22" s="4">
        <v>1.6989924326400114</v>
      </c>
    </row>
    <row r="23" spans="1:2" x14ac:dyDescent="0.45">
      <c r="A23" s="5">
        <v>43891</v>
      </c>
      <c r="B23" s="4">
        <v>1.4674845013570348</v>
      </c>
    </row>
    <row r="24" spans="1:2" x14ac:dyDescent="0.45">
      <c r="A24" s="5">
        <v>43922</v>
      </c>
      <c r="B24" s="4">
        <v>1.4214006215514701</v>
      </c>
    </row>
    <row r="25" spans="1:2" x14ac:dyDescent="0.45">
      <c r="A25" s="5">
        <v>43952</v>
      </c>
      <c r="B25" s="4">
        <v>1.6362079127786728</v>
      </c>
    </row>
    <row r="26" spans="1:2" x14ac:dyDescent="0.45">
      <c r="A26" s="5">
        <v>43983</v>
      </c>
      <c r="B26" s="4">
        <v>1.7674812376505997</v>
      </c>
    </row>
    <row r="27" spans="1:2" x14ac:dyDescent="0.45">
      <c r="A27" s="5">
        <v>44013</v>
      </c>
      <c r="B27" s="4">
        <v>1.5165465118635666</v>
      </c>
    </row>
    <row r="28" spans="1:2" x14ac:dyDescent="0.45">
      <c r="A28" s="5">
        <v>44044</v>
      </c>
      <c r="B28" s="4">
        <v>1.8541030595507664</v>
      </c>
    </row>
    <row r="29" spans="1:2" x14ac:dyDescent="0.45">
      <c r="A29" s="5">
        <v>44075</v>
      </c>
      <c r="B29" s="4">
        <v>1.586129778436657</v>
      </c>
    </row>
    <row r="30" spans="1:2" x14ac:dyDescent="0.45">
      <c r="A30" s="5">
        <v>44105</v>
      </c>
      <c r="B30" s="4">
        <v>1.6017024122022576</v>
      </c>
    </row>
    <row r="31" spans="1:2" x14ac:dyDescent="0.45">
      <c r="A31" s="5">
        <v>44136</v>
      </c>
      <c r="B31" s="4">
        <v>1.6534481875393112</v>
      </c>
    </row>
    <row r="32" spans="1:2" x14ac:dyDescent="0.45">
      <c r="A32" s="5">
        <v>44166</v>
      </c>
      <c r="B32" s="4">
        <v>1.6513338993000843</v>
      </c>
    </row>
    <row r="33" spans="1:2" x14ac:dyDescent="0.45">
      <c r="A33" s="5">
        <v>44197</v>
      </c>
      <c r="B33" s="4">
        <v>2.818146104792504</v>
      </c>
    </row>
    <row r="34" spans="1:2" x14ac:dyDescent="0.45">
      <c r="A34" s="5">
        <v>44228</v>
      </c>
      <c r="B34" s="4">
        <v>3.3885155677789953</v>
      </c>
    </row>
    <row r="35" spans="1:2" x14ac:dyDescent="0.45">
      <c r="A35" s="5">
        <v>44256</v>
      </c>
      <c r="B35" s="4">
        <v>2.2117205977177719</v>
      </c>
    </row>
    <row r="36" spans="1:2" x14ac:dyDescent="0.45">
      <c r="A36" s="5">
        <v>44287</v>
      </c>
      <c r="B36" s="4">
        <v>1.5704155739796306</v>
      </c>
    </row>
    <row r="37" spans="1:2" x14ac:dyDescent="0.45">
      <c r="A37" s="5">
        <v>44317</v>
      </c>
      <c r="B37" s="4">
        <v>1.4778402054502067</v>
      </c>
    </row>
    <row r="38" spans="1:2" x14ac:dyDescent="0.45">
      <c r="A38" s="5">
        <v>44348</v>
      </c>
      <c r="B38" s="4">
        <v>1.7640928527142705</v>
      </c>
    </row>
    <row r="39" spans="1:2" x14ac:dyDescent="0.45">
      <c r="A39" s="5">
        <v>44378</v>
      </c>
      <c r="B39" s="4">
        <v>1.6639871994498208</v>
      </c>
    </row>
    <row r="40" spans="1:2" x14ac:dyDescent="0.45">
      <c r="A40" s="5">
        <v>44409</v>
      </c>
      <c r="B40" s="4">
        <v>1.3497676328306625</v>
      </c>
    </row>
    <row r="41" spans="1:2" x14ac:dyDescent="0.45">
      <c r="A41" s="5">
        <v>44440</v>
      </c>
      <c r="B41" s="4">
        <v>1.3653707621620015</v>
      </c>
    </row>
    <row r="42" spans="1:2" x14ac:dyDescent="0.45">
      <c r="A42" s="5">
        <v>44470</v>
      </c>
      <c r="B42" s="4">
        <v>1.3627407215250287</v>
      </c>
    </row>
    <row r="43" spans="1:2" x14ac:dyDescent="0.45">
      <c r="A43" s="5">
        <v>44501</v>
      </c>
      <c r="B43" s="4">
        <v>1.3028819819662658</v>
      </c>
    </row>
    <row r="44" spans="1:2" x14ac:dyDescent="0.45">
      <c r="A44" s="5">
        <v>44531</v>
      </c>
      <c r="B44" s="4">
        <v>0.9934044522400427</v>
      </c>
    </row>
    <row r="45" spans="1:2" x14ac:dyDescent="0.45">
      <c r="A45" s="5">
        <v>44562</v>
      </c>
      <c r="B45" s="4">
        <v>2.6174879931230635</v>
      </c>
    </row>
    <row r="46" spans="1:2" x14ac:dyDescent="0.45">
      <c r="A46" s="5">
        <v>44593</v>
      </c>
      <c r="B46" s="4">
        <v>1.7552339120245506</v>
      </c>
    </row>
    <row r="47" spans="1:2" x14ac:dyDescent="0.45">
      <c r="A47" s="5">
        <v>44621</v>
      </c>
      <c r="B47" s="4">
        <v>1.9790546758027858</v>
      </c>
    </row>
    <row r="48" spans="1:2" x14ac:dyDescent="0.45">
      <c r="A48" s="5">
        <v>44652</v>
      </c>
      <c r="B48" s="4">
        <v>1.7503089615460112</v>
      </c>
    </row>
    <row r="49" spans="1:2" x14ac:dyDescent="0.45">
      <c r="A49" s="5">
        <v>44682</v>
      </c>
      <c r="B49" s="4">
        <v>1.6358575879238515</v>
      </c>
    </row>
    <row r="50" spans="1:2" x14ac:dyDescent="0.45">
      <c r="A50" s="5">
        <v>44713</v>
      </c>
      <c r="B50" s="4">
        <v>1.6933273564700357</v>
      </c>
    </row>
    <row r="51" spans="1:2" x14ac:dyDescent="0.45">
      <c r="A51" s="5">
        <v>44743</v>
      </c>
      <c r="B51" s="4">
        <v>1.5959317178898118</v>
      </c>
    </row>
    <row r="52" spans="1:2" x14ac:dyDescent="0.45">
      <c r="A52" s="5">
        <v>44774</v>
      </c>
      <c r="B52" s="4">
        <v>1.632031092404759</v>
      </c>
    </row>
    <row r="53" spans="1:2" x14ac:dyDescent="0.45">
      <c r="A53" s="5">
        <v>44805</v>
      </c>
      <c r="B53" s="4">
        <v>1.7649004277683389</v>
      </c>
    </row>
    <row r="54" spans="1:2" x14ac:dyDescent="0.45">
      <c r="A54" s="5">
        <v>44835</v>
      </c>
      <c r="B54" s="4">
        <v>1.5374777778993121</v>
      </c>
    </row>
    <row r="55" spans="1:2" x14ac:dyDescent="0.45">
      <c r="A55" s="5">
        <v>44866</v>
      </c>
      <c r="B55" s="4">
        <v>1.587605212862627</v>
      </c>
    </row>
    <row r="56" spans="1:2" x14ac:dyDescent="0.45">
      <c r="A56" s="5">
        <v>44896</v>
      </c>
      <c r="B56" s="4">
        <v>1.4745754318420268</v>
      </c>
    </row>
    <row r="57" spans="1:2" x14ac:dyDescent="0.45">
      <c r="A57" s="5">
        <v>44927</v>
      </c>
      <c r="B57" s="4">
        <v>2.034309759980033</v>
      </c>
    </row>
    <row r="58" spans="1:2" x14ac:dyDescent="0.45">
      <c r="A58" s="5">
        <v>44958</v>
      </c>
      <c r="B58" s="4">
        <v>1.8147125664750092</v>
      </c>
    </row>
    <row r="59" spans="1:2" x14ac:dyDescent="0.45">
      <c r="A59" s="5">
        <v>44986</v>
      </c>
      <c r="B59" s="4">
        <v>2.9137797209356222</v>
      </c>
    </row>
    <row r="60" spans="1:2" x14ac:dyDescent="0.45">
      <c r="A60" s="5">
        <v>45017</v>
      </c>
      <c r="B60" s="4">
        <v>4.4190844216909682</v>
      </c>
    </row>
    <row r="61" spans="1:2" x14ac:dyDescent="0.45">
      <c r="A61" s="5">
        <v>45047</v>
      </c>
      <c r="B61" s="4">
        <v>4.12056177940201</v>
      </c>
    </row>
    <row r="62" spans="1:2" x14ac:dyDescent="0.45">
      <c r="A62" s="5">
        <v>45078</v>
      </c>
      <c r="B62" s="4">
        <v>4.0802381258756668</v>
      </c>
    </row>
    <row r="63" spans="1:2" x14ac:dyDescent="0.45">
      <c r="A63" s="5">
        <v>45108</v>
      </c>
      <c r="B63" s="4">
        <v>4.0835069060982505</v>
      </c>
    </row>
    <row r="64" spans="1:2" x14ac:dyDescent="0.45">
      <c r="A64" s="5">
        <v>45139</v>
      </c>
      <c r="B64" s="4">
        <v>4.0682050180870419</v>
      </c>
    </row>
    <row r="65" spans="1:2" x14ac:dyDescent="0.45">
      <c r="A65" s="5">
        <v>45170</v>
      </c>
      <c r="B65" s="4">
        <v>4.0469959294197224</v>
      </c>
    </row>
    <row r="66" spans="1:2" x14ac:dyDescent="0.45">
      <c r="A66" s="5">
        <v>45200</v>
      </c>
      <c r="B66" s="4">
        <v>4.0689875483220703</v>
      </c>
    </row>
    <row r="67" spans="1:2" x14ac:dyDescent="0.45">
      <c r="A67" s="5">
        <v>45231</v>
      </c>
      <c r="B67" s="4">
        <v>3.880704340114562</v>
      </c>
    </row>
    <row r="68" spans="1:2" x14ac:dyDescent="0.45">
      <c r="A68" s="5">
        <v>45261</v>
      </c>
      <c r="B68" s="4">
        <v>4.2570853577925618</v>
      </c>
    </row>
    <row r="69" spans="1:2" x14ac:dyDescent="0.45">
      <c r="A69" s="5">
        <v>45292</v>
      </c>
      <c r="B69" s="4">
        <v>4.1319876168710152</v>
      </c>
    </row>
    <row r="70" spans="1:2" x14ac:dyDescent="0.45">
      <c r="A70" s="5">
        <v>45323</v>
      </c>
      <c r="B70" s="4">
        <v>3.9600567682432484</v>
      </c>
    </row>
    <row r="71" spans="1:2" x14ac:dyDescent="0.45">
      <c r="A71" s="5">
        <v>45352</v>
      </c>
      <c r="B71" s="4">
        <v>3.8198847553094311</v>
      </c>
    </row>
    <row r="72" spans="1:2" x14ac:dyDescent="0.45">
      <c r="A72" s="5">
        <v>45383</v>
      </c>
      <c r="B72" s="4">
        <v>4.1319029920330195</v>
      </c>
    </row>
    <row r="73" spans="1:2" x14ac:dyDescent="0.45">
      <c r="A73" s="5">
        <v>45413</v>
      </c>
      <c r="B73" s="4">
        <v>4.04866546460471</v>
      </c>
    </row>
    <row r="74" spans="1:2" x14ac:dyDescent="0.45">
      <c r="A74" s="5">
        <v>45444</v>
      </c>
      <c r="B74" s="4">
        <v>4.1138559069397616</v>
      </c>
    </row>
    <row r="75" spans="1:2" x14ac:dyDescent="0.45">
      <c r="A75" s="5">
        <v>45474</v>
      </c>
      <c r="B75" s="4">
        <v>3.6294420485335195</v>
      </c>
    </row>
    <row r="76" spans="1:2" x14ac:dyDescent="0.45">
      <c r="A76" s="5">
        <v>45505</v>
      </c>
      <c r="B76" s="4">
        <v>3.8943154795236978</v>
      </c>
    </row>
    <row r="77" spans="1:2" x14ac:dyDescent="0.45">
      <c r="A77" s="5">
        <v>45536</v>
      </c>
      <c r="B77" s="4">
        <v>3.6691343145004112</v>
      </c>
    </row>
    <row r="78" spans="1:2" x14ac:dyDescent="0.45">
      <c r="A78" s="5">
        <v>45566</v>
      </c>
      <c r="B78" s="4">
        <v>3.6563779229931015</v>
      </c>
    </row>
    <row r="79" spans="1:2" x14ac:dyDescent="0.45">
      <c r="A79" s="5">
        <v>45597</v>
      </c>
      <c r="B79" s="4">
        <v>3.5993509631920233</v>
      </c>
    </row>
    <row r="80" spans="1:2" x14ac:dyDescent="0.45">
      <c r="A80" s="5">
        <v>45627</v>
      </c>
      <c r="B80" s="4">
        <v>3.5556194478527914</v>
      </c>
    </row>
    <row r="81" spans="1:2" x14ac:dyDescent="0.45">
      <c r="A81" s="5">
        <v>45658</v>
      </c>
      <c r="B81" s="4">
        <v>3.6941980173750153</v>
      </c>
    </row>
    <row r="82" spans="1:2" x14ac:dyDescent="0.45">
      <c r="A82" s="5">
        <v>45689</v>
      </c>
      <c r="B82" s="4">
        <v>3.4452770860650617</v>
      </c>
    </row>
    <row r="83" spans="1:2" x14ac:dyDescent="0.45">
      <c r="A83" s="5">
        <v>45717</v>
      </c>
      <c r="B83" s="4">
        <v>3.6403824318088027</v>
      </c>
    </row>
    <row r="84" spans="1:2" x14ac:dyDescent="0.45">
      <c r="A84" s="5">
        <v>45748</v>
      </c>
      <c r="B84" s="4">
        <v>3.7557838432900326</v>
      </c>
    </row>
    <row r="85" spans="1:2" x14ac:dyDescent="0.45">
      <c r="A85" s="5">
        <v>45778</v>
      </c>
      <c r="B85" s="4">
        <v>3.6184613850380174</v>
      </c>
    </row>
    <row r="86" spans="1:2" x14ac:dyDescent="0.45">
      <c r="A86" s="5">
        <v>45809</v>
      </c>
      <c r="B86" s="4">
        <v>3.4878553901847908</v>
      </c>
    </row>
    <row r="87" spans="1:2" x14ac:dyDescent="0.45">
      <c r="A87" s="5">
        <v>45839</v>
      </c>
      <c r="B87" s="4">
        <v>3.5050523312143014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80B84-6FE1-43C9-9389-7C292550AD62}">
  <dimension ref="A1:B39"/>
  <sheetViews>
    <sheetView topLeftCell="A19" workbookViewId="0">
      <selection activeCell="B39" sqref="A39:B39"/>
    </sheetView>
  </sheetViews>
  <sheetFormatPr defaultRowHeight="14.25" x14ac:dyDescent="0.45"/>
  <sheetData>
    <row r="1" spans="1:2" x14ac:dyDescent="0.45">
      <c r="A1" t="s">
        <v>3</v>
      </c>
      <c r="B1" t="s">
        <v>10</v>
      </c>
    </row>
    <row r="2" spans="1:2" x14ac:dyDescent="0.45">
      <c r="A2">
        <v>1962</v>
      </c>
      <c r="B2" s="10">
        <v>0.77612700000000001</v>
      </c>
    </row>
    <row r="3" spans="1:2" x14ac:dyDescent="0.45">
      <c r="A3">
        <v>1963</v>
      </c>
      <c r="B3" s="10">
        <v>2.38422</v>
      </c>
    </row>
    <row r="4" spans="1:2" x14ac:dyDescent="0.45">
      <c r="A4">
        <v>1964</v>
      </c>
      <c r="B4" s="10">
        <v>2.2848299999999999</v>
      </c>
    </row>
    <row r="5" spans="1:2" x14ac:dyDescent="0.45">
      <c r="A5">
        <v>1965</v>
      </c>
      <c r="B5" s="10">
        <v>1.77519</v>
      </c>
    </row>
    <row r="6" spans="1:2" x14ac:dyDescent="0.45">
      <c r="A6">
        <v>1966</v>
      </c>
      <c r="B6" s="10">
        <v>1.87537</v>
      </c>
    </row>
    <row r="7" spans="1:2" x14ac:dyDescent="0.45">
      <c r="A7">
        <v>1967</v>
      </c>
      <c r="B7" s="10">
        <v>0.68942999999999999</v>
      </c>
    </row>
    <row r="8" spans="1:2" x14ac:dyDescent="0.45">
      <c r="A8">
        <v>1968</v>
      </c>
      <c r="B8" s="10">
        <v>0</v>
      </c>
    </row>
    <row r="9" spans="1:2" x14ac:dyDescent="0.45">
      <c r="A9">
        <v>1969</v>
      </c>
      <c r="B9" s="10">
        <v>1.5993900000000001</v>
      </c>
    </row>
    <row r="10" spans="1:2" x14ac:dyDescent="0.45">
      <c r="A10">
        <v>1970</v>
      </c>
      <c r="B10" s="10">
        <v>1.77721</v>
      </c>
    </row>
    <row r="11" spans="1:2" x14ac:dyDescent="0.45">
      <c r="A11">
        <v>1971</v>
      </c>
      <c r="B11" s="10">
        <v>2.37629</v>
      </c>
    </row>
    <row r="12" spans="1:2" x14ac:dyDescent="0.45">
      <c r="A12">
        <v>1972</v>
      </c>
      <c r="B12" s="10">
        <v>1.5007999999999999</v>
      </c>
    </row>
    <row r="13" spans="1:2" x14ac:dyDescent="0.45">
      <c r="A13">
        <v>1973</v>
      </c>
      <c r="B13" s="10">
        <v>0.12632599999999999</v>
      </c>
    </row>
    <row r="14" spans="1:2" x14ac:dyDescent="0.45">
      <c r="A14">
        <v>1974</v>
      </c>
      <c r="B14" s="10">
        <v>2.7766500000000001</v>
      </c>
    </row>
    <row r="15" spans="1:2" x14ac:dyDescent="0.45">
      <c r="A15">
        <v>1975</v>
      </c>
      <c r="B15" s="10">
        <v>2.37785</v>
      </c>
    </row>
    <row r="16" spans="1:2" x14ac:dyDescent="0.45">
      <c r="A16">
        <v>1976</v>
      </c>
      <c r="B16" s="10">
        <v>2.79962</v>
      </c>
    </row>
    <row r="17" spans="1:2" x14ac:dyDescent="0.45">
      <c r="A17">
        <v>1977</v>
      </c>
      <c r="B17" s="10">
        <v>1.74671</v>
      </c>
    </row>
    <row r="18" spans="1:2" x14ac:dyDescent="0.45">
      <c r="A18">
        <v>1978</v>
      </c>
      <c r="B18" s="10">
        <v>0</v>
      </c>
    </row>
    <row r="19" spans="1:2" x14ac:dyDescent="0.45">
      <c r="A19">
        <v>1979</v>
      </c>
      <c r="B19" s="10">
        <v>0</v>
      </c>
    </row>
    <row r="20" spans="1:2" x14ac:dyDescent="0.45">
      <c r="A20">
        <v>1980</v>
      </c>
      <c r="B20" s="10">
        <v>1.3930899999999999</v>
      </c>
    </row>
    <row r="21" spans="1:2" x14ac:dyDescent="0.45">
      <c r="A21">
        <v>1981</v>
      </c>
      <c r="B21" s="10">
        <v>1.4821899999999999</v>
      </c>
    </row>
    <row r="22" spans="1:2" x14ac:dyDescent="0.45">
      <c r="A22">
        <v>1982</v>
      </c>
      <c r="B22" s="10">
        <v>1.3827799999999999</v>
      </c>
    </row>
    <row r="23" spans="1:2" x14ac:dyDescent="0.45">
      <c r="A23">
        <v>1983</v>
      </c>
      <c r="B23" s="10">
        <v>1.1946699999999999</v>
      </c>
    </row>
    <row r="24" spans="1:2" x14ac:dyDescent="0.45">
      <c r="A24">
        <v>1984</v>
      </c>
      <c r="B24" s="10">
        <v>1.18398</v>
      </c>
    </row>
    <row r="25" spans="1:2" x14ac:dyDescent="0.45">
      <c r="A25">
        <v>1985</v>
      </c>
      <c r="B25" s="10">
        <v>0.99589700000000003</v>
      </c>
    </row>
    <row r="26" spans="1:2" x14ac:dyDescent="0.45">
      <c r="A26">
        <v>1986</v>
      </c>
      <c r="B26" s="10">
        <v>2.48203</v>
      </c>
    </row>
    <row r="27" spans="1:2" x14ac:dyDescent="0.45">
      <c r="A27">
        <v>1987</v>
      </c>
      <c r="B27" s="10">
        <v>2.3826399999999999</v>
      </c>
    </row>
    <row r="28" spans="1:2" x14ac:dyDescent="0.45">
      <c r="A28">
        <v>1988</v>
      </c>
      <c r="B28" s="10">
        <v>2.0947399999999998</v>
      </c>
    </row>
    <row r="29" spans="1:2" x14ac:dyDescent="0.45">
      <c r="A29">
        <v>1989</v>
      </c>
      <c r="B29" s="10">
        <v>2.0064600000000001</v>
      </c>
    </row>
    <row r="30" spans="1:2" x14ac:dyDescent="0.45">
      <c r="A30">
        <v>1990</v>
      </c>
      <c r="B30" s="10">
        <v>2.8605999999999998</v>
      </c>
    </row>
    <row r="31" spans="1:2" x14ac:dyDescent="0.45">
      <c r="A31">
        <v>1991</v>
      </c>
      <c r="B31" s="10">
        <v>2.7833700000000001</v>
      </c>
    </row>
    <row r="32" spans="1:2" x14ac:dyDescent="0.45">
      <c r="A32">
        <v>1992</v>
      </c>
      <c r="B32" s="10">
        <v>1.49762</v>
      </c>
    </row>
    <row r="33" spans="1:2" x14ac:dyDescent="0.45">
      <c r="A33">
        <v>1993</v>
      </c>
      <c r="B33" s="10">
        <v>1.5867199999999999</v>
      </c>
    </row>
    <row r="34" spans="1:2" x14ac:dyDescent="0.45">
      <c r="A34">
        <v>1994</v>
      </c>
      <c r="B34" s="10">
        <v>0</v>
      </c>
    </row>
    <row r="35" spans="1:2" x14ac:dyDescent="0.45">
      <c r="A35">
        <v>1995</v>
      </c>
      <c r="B35" s="10">
        <v>0</v>
      </c>
    </row>
    <row r="36" spans="1:2" x14ac:dyDescent="0.45">
      <c r="A36">
        <v>1996</v>
      </c>
      <c r="B36" s="10">
        <v>0.12409199999999999</v>
      </c>
    </row>
    <row r="37" spans="1:2" x14ac:dyDescent="0.45">
      <c r="A37">
        <v>1997</v>
      </c>
      <c r="B37" s="10">
        <v>0.889764</v>
      </c>
    </row>
    <row r="38" spans="1:2" x14ac:dyDescent="0.45">
      <c r="A38">
        <v>1998</v>
      </c>
      <c r="B38" s="10">
        <v>1.5000199999999999</v>
      </c>
    </row>
    <row r="39" spans="1:2" x14ac:dyDescent="0.45">
      <c r="A39">
        <v>1999</v>
      </c>
      <c r="B39" s="10">
        <v>1.2010400000000001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483B-41B7-4D01-A397-950A84FA6597}">
  <sheetPr>
    <tabColor rgb="FFCCFF33"/>
  </sheetPr>
  <dimension ref="A1:B139"/>
  <sheetViews>
    <sheetView topLeftCell="A121" workbookViewId="0">
      <selection activeCell="A139" sqref="A139:B139"/>
    </sheetView>
  </sheetViews>
  <sheetFormatPr defaultRowHeight="14.25" x14ac:dyDescent="0.45"/>
  <sheetData>
    <row r="1" spans="1:2" x14ac:dyDescent="0.45">
      <c r="A1" t="s">
        <v>3</v>
      </c>
      <c r="B1" t="s">
        <v>10</v>
      </c>
    </row>
    <row r="2" spans="1:2" x14ac:dyDescent="0.45">
      <c r="A2">
        <v>1950.03</v>
      </c>
      <c r="B2" s="6">
        <v>0.51354299999999997</v>
      </c>
    </row>
    <row r="3" spans="1:2" x14ac:dyDescent="0.45">
      <c r="A3">
        <v>1950.08</v>
      </c>
      <c r="B3" s="6">
        <v>0.72190900000000002</v>
      </c>
    </row>
    <row r="4" spans="1:2" x14ac:dyDescent="0.45">
      <c r="A4">
        <v>1950.11</v>
      </c>
      <c r="B4" s="6">
        <v>0.94341600000000003</v>
      </c>
    </row>
    <row r="5" spans="1:2" x14ac:dyDescent="0.45">
      <c r="A5">
        <v>1950.2</v>
      </c>
      <c r="B5" s="6">
        <v>1.2097100000000001</v>
      </c>
    </row>
    <row r="6" spans="1:2" x14ac:dyDescent="0.45">
      <c r="A6">
        <v>1950.38</v>
      </c>
      <c r="B6" s="6">
        <v>1.8086599999999999</v>
      </c>
    </row>
    <row r="7" spans="1:2" x14ac:dyDescent="0.45">
      <c r="A7">
        <v>1950.59</v>
      </c>
      <c r="B7" s="6">
        <v>1.6778</v>
      </c>
    </row>
    <row r="8" spans="1:2" x14ac:dyDescent="0.45">
      <c r="A8">
        <v>1950.74</v>
      </c>
      <c r="B8" s="6">
        <v>1.4623200000000001</v>
      </c>
    </row>
    <row r="9" spans="1:2" x14ac:dyDescent="0.45">
      <c r="A9">
        <v>1950.89</v>
      </c>
      <c r="B9" s="6">
        <v>1.238</v>
      </c>
    </row>
    <row r="10" spans="1:2" x14ac:dyDescent="0.45">
      <c r="A10">
        <v>1950.95</v>
      </c>
      <c r="B10" s="6">
        <v>1.0438499999999999</v>
      </c>
    </row>
    <row r="11" spans="1:2" x14ac:dyDescent="0.45">
      <c r="A11">
        <v>1951.05</v>
      </c>
      <c r="B11" s="6">
        <v>1.0711999999999999</v>
      </c>
    </row>
    <row r="12" spans="1:2" x14ac:dyDescent="0.45">
      <c r="A12">
        <v>1951.18</v>
      </c>
      <c r="B12" s="6">
        <v>1.4042600000000001</v>
      </c>
    </row>
    <row r="13" spans="1:2" x14ac:dyDescent="0.45">
      <c r="A13">
        <v>1951.32</v>
      </c>
      <c r="B13" s="6">
        <v>1.3789199999999999</v>
      </c>
    </row>
    <row r="14" spans="1:2" x14ac:dyDescent="0.45">
      <c r="A14">
        <v>1951.67</v>
      </c>
      <c r="B14" s="6">
        <v>0.99704999999999999</v>
      </c>
    </row>
    <row r="15" spans="1:2" x14ac:dyDescent="0.45">
      <c r="A15">
        <v>1951.82</v>
      </c>
      <c r="B15" s="6">
        <v>0.73732900000000001</v>
      </c>
    </row>
    <row r="16" spans="1:2" x14ac:dyDescent="0.45">
      <c r="A16">
        <v>1951.95</v>
      </c>
      <c r="B16" s="6">
        <v>0.83145599999999997</v>
      </c>
    </row>
    <row r="17" spans="1:2" x14ac:dyDescent="0.45">
      <c r="A17">
        <v>1952.14</v>
      </c>
      <c r="B17" s="6">
        <v>2.16492</v>
      </c>
    </row>
    <row r="18" spans="1:2" x14ac:dyDescent="0.45">
      <c r="A18">
        <v>1952.3</v>
      </c>
      <c r="B18" s="6">
        <v>2.1309999999999998</v>
      </c>
    </row>
    <row r="19" spans="1:2" x14ac:dyDescent="0.45">
      <c r="A19">
        <v>1952.64</v>
      </c>
      <c r="B19" s="6">
        <v>1.7888200000000001</v>
      </c>
    </row>
    <row r="20" spans="1:2" x14ac:dyDescent="0.45">
      <c r="A20">
        <v>1952.8</v>
      </c>
      <c r="B20" s="6">
        <v>1.4495800000000001</v>
      </c>
    </row>
    <row r="21" spans="1:2" x14ac:dyDescent="0.45">
      <c r="A21">
        <v>1952.94</v>
      </c>
      <c r="B21" s="6">
        <v>1.49061</v>
      </c>
    </row>
    <row r="22" spans="1:2" x14ac:dyDescent="0.45">
      <c r="A22">
        <v>1953.09</v>
      </c>
      <c r="B22" s="6">
        <v>1.89019</v>
      </c>
    </row>
    <row r="23" spans="1:2" x14ac:dyDescent="0.45">
      <c r="A23">
        <v>1953.26</v>
      </c>
      <c r="B23" s="6">
        <v>1.9536100000000001</v>
      </c>
    </row>
    <row r="24" spans="1:2" x14ac:dyDescent="0.45">
      <c r="A24">
        <v>1953.85</v>
      </c>
      <c r="B24" s="6">
        <v>1.28627</v>
      </c>
    </row>
    <row r="25" spans="1:2" x14ac:dyDescent="0.45">
      <c r="A25">
        <v>1954.17</v>
      </c>
      <c r="B25" s="6">
        <v>1.46608</v>
      </c>
    </row>
    <row r="26" spans="1:2" x14ac:dyDescent="0.45">
      <c r="A26">
        <v>1954.24</v>
      </c>
      <c r="B26" s="6">
        <v>1.3163</v>
      </c>
    </row>
    <row r="27" spans="1:2" x14ac:dyDescent="0.45">
      <c r="A27">
        <v>1954.41</v>
      </c>
      <c r="B27" s="6">
        <v>1.25583</v>
      </c>
    </row>
    <row r="28" spans="1:2" x14ac:dyDescent="0.45">
      <c r="A28">
        <v>1954.79</v>
      </c>
      <c r="B28" s="6">
        <v>0.39635300000000001</v>
      </c>
    </row>
    <row r="29" spans="1:2" x14ac:dyDescent="0.45">
      <c r="A29">
        <v>1955.23</v>
      </c>
      <c r="B29" s="6">
        <v>1.87812</v>
      </c>
    </row>
    <row r="30" spans="1:2" x14ac:dyDescent="0.45">
      <c r="A30">
        <v>1955.53</v>
      </c>
      <c r="B30" s="6">
        <v>1.68611</v>
      </c>
    </row>
    <row r="31" spans="1:2" x14ac:dyDescent="0.45">
      <c r="A31">
        <v>1955.64</v>
      </c>
      <c r="B31" s="6">
        <v>1.4702299999999999</v>
      </c>
    </row>
    <row r="32" spans="1:2" x14ac:dyDescent="0.45">
      <c r="A32">
        <v>1955.8</v>
      </c>
      <c r="B32" s="6">
        <v>1.17082</v>
      </c>
    </row>
    <row r="33" spans="1:2" x14ac:dyDescent="0.45">
      <c r="A33">
        <v>1955.92</v>
      </c>
      <c r="B33" s="6">
        <v>1.1630499999999999</v>
      </c>
    </row>
    <row r="34" spans="1:2" x14ac:dyDescent="0.45">
      <c r="A34">
        <v>1956.03</v>
      </c>
      <c r="B34" s="6">
        <v>1.28345</v>
      </c>
    </row>
    <row r="35" spans="1:2" x14ac:dyDescent="0.45">
      <c r="A35">
        <v>1956.18</v>
      </c>
      <c r="B35" s="6">
        <v>1.49718</v>
      </c>
    </row>
    <row r="36" spans="1:2" x14ac:dyDescent="0.45">
      <c r="A36">
        <v>1956.2</v>
      </c>
      <c r="B36" s="6">
        <v>1.64334</v>
      </c>
    </row>
    <row r="37" spans="1:2" x14ac:dyDescent="0.45">
      <c r="A37">
        <v>1956.29</v>
      </c>
      <c r="B37" s="6">
        <v>1.6485700000000001</v>
      </c>
    </row>
    <row r="38" spans="1:2" x14ac:dyDescent="0.45">
      <c r="A38">
        <v>1956.52</v>
      </c>
      <c r="B38" s="6">
        <v>1.4558899999999999</v>
      </c>
    </row>
    <row r="39" spans="1:2" x14ac:dyDescent="0.45">
      <c r="A39">
        <v>1956.8</v>
      </c>
      <c r="B39" s="6">
        <v>1.0557799999999999</v>
      </c>
    </row>
    <row r="40" spans="1:2" x14ac:dyDescent="0.45">
      <c r="A40">
        <v>1957.12</v>
      </c>
      <c r="B40" s="6">
        <v>1.8727499999999999</v>
      </c>
    </row>
    <row r="41" spans="1:2" x14ac:dyDescent="0.45">
      <c r="A41">
        <v>1957.29</v>
      </c>
      <c r="B41" s="6">
        <v>1.91405</v>
      </c>
    </row>
    <row r="42" spans="1:2" x14ac:dyDescent="0.45">
      <c r="A42">
        <v>1957.68</v>
      </c>
      <c r="B42" s="6">
        <v>1.52373</v>
      </c>
    </row>
    <row r="43" spans="1:2" x14ac:dyDescent="0.45">
      <c r="A43">
        <v>1957.77</v>
      </c>
      <c r="B43" s="6">
        <v>1.24135</v>
      </c>
    </row>
    <row r="44" spans="1:2" x14ac:dyDescent="0.45">
      <c r="A44">
        <v>1957.88</v>
      </c>
      <c r="B44" s="6">
        <v>1.15822</v>
      </c>
    </row>
    <row r="45" spans="1:2" x14ac:dyDescent="0.45">
      <c r="A45">
        <v>1958.11</v>
      </c>
      <c r="B45" s="6">
        <v>2.1735000000000002</v>
      </c>
    </row>
    <row r="46" spans="1:2" x14ac:dyDescent="0.45">
      <c r="A46">
        <v>1958.5</v>
      </c>
      <c r="B46" s="6">
        <v>1.9115</v>
      </c>
    </row>
    <row r="47" spans="1:2" x14ac:dyDescent="0.45">
      <c r="A47">
        <v>1958.52</v>
      </c>
      <c r="B47" s="6">
        <v>1.7788999999999999</v>
      </c>
    </row>
    <row r="48" spans="1:2" x14ac:dyDescent="0.45">
      <c r="A48">
        <v>1958.67</v>
      </c>
      <c r="B48" s="6">
        <v>1.70059</v>
      </c>
    </row>
    <row r="49" spans="1:2" x14ac:dyDescent="0.45">
      <c r="A49">
        <v>1958.7</v>
      </c>
      <c r="B49" s="6">
        <v>1.43537</v>
      </c>
    </row>
    <row r="50" spans="1:2" x14ac:dyDescent="0.45">
      <c r="A50">
        <v>1958.79</v>
      </c>
      <c r="B50" s="6">
        <v>1.4538800000000001</v>
      </c>
    </row>
    <row r="51" spans="1:2" x14ac:dyDescent="0.45">
      <c r="A51">
        <v>1958.92</v>
      </c>
      <c r="B51" s="6">
        <v>1.36216</v>
      </c>
    </row>
    <row r="52" spans="1:2" x14ac:dyDescent="0.45">
      <c r="A52">
        <v>1959.11</v>
      </c>
      <c r="B52" s="6">
        <v>1.8150999999999999</v>
      </c>
    </row>
    <row r="53" spans="1:2" x14ac:dyDescent="0.45">
      <c r="A53">
        <v>1959.41</v>
      </c>
      <c r="B53" s="6">
        <v>1.5478700000000001</v>
      </c>
    </row>
    <row r="54" spans="1:2" x14ac:dyDescent="0.45">
      <c r="A54">
        <v>1959.67</v>
      </c>
      <c r="B54" s="6">
        <v>1.14307</v>
      </c>
    </row>
    <row r="55" spans="1:2" x14ac:dyDescent="0.45">
      <c r="A55">
        <v>1959.8</v>
      </c>
      <c r="B55" s="6">
        <v>0.91418600000000005</v>
      </c>
    </row>
    <row r="56" spans="1:2" x14ac:dyDescent="0.45">
      <c r="A56">
        <v>1959.89</v>
      </c>
      <c r="B56" s="6">
        <v>0.95923800000000004</v>
      </c>
    </row>
    <row r="57" spans="1:2" x14ac:dyDescent="0.45">
      <c r="A57">
        <v>1959.94</v>
      </c>
      <c r="B57" s="6">
        <v>1.11893</v>
      </c>
    </row>
    <row r="58" spans="1:2" x14ac:dyDescent="0.45">
      <c r="A58">
        <v>1960.11</v>
      </c>
      <c r="B58" s="6">
        <v>1.0496099999999999</v>
      </c>
    </row>
    <row r="59" spans="1:2" x14ac:dyDescent="0.45">
      <c r="A59">
        <v>1960.21</v>
      </c>
      <c r="B59" s="6">
        <v>1.1080700000000001</v>
      </c>
    </row>
    <row r="60" spans="1:2" x14ac:dyDescent="0.45">
      <c r="A60">
        <v>1960.33</v>
      </c>
      <c r="B60" s="6">
        <v>0</v>
      </c>
    </row>
    <row r="61" spans="1:2" x14ac:dyDescent="0.45">
      <c r="A61">
        <v>1960.77</v>
      </c>
      <c r="B61" s="6">
        <v>0</v>
      </c>
    </row>
    <row r="62" spans="1:2" x14ac:dyDescent="0.45">
      <c r="A62">
        <v>1960.82</v>
      </c>
      <c r="B62" s="6">
        <v>0.52051499999999995</v>
      </c>
    </row>
    <row r="63" spans="1:2" x14ac:dyDescent="0.45">
      <c r="A63">
        <v>1961.05</v>
      </c>
      <c r="B63" s="6">
        <v>1.42961</v>
      </c>
    </row>
    <row r="64" spans="1:2" x14ac:dyDescent="0.45">
      <c r="A64">
        <v>1961.48</v>
      </c>
      <c r="B64" s="6">
        <v>0.87154699999999996</v>
      </c>
    </row>
    <row r="65" spans="1:2" x14ac:dyDescent="0.45">
      <c r="A65">
        <v>1961.68</v>
      </c>
      <c r="B65" s="6">
        <v>1.1874499999999999</v>
      </c>
    </row>
    <row r="66" spans="1:2" x14ac:dyDescent="0.45">
      <c r="A66" s="7">
        <v>1961.86</v>
      </c>
      <c r="B66" s="8">
        <v>0.97666900000000001</v>
      </c>
    </row>
    <row r="67" spans="1:2" x14ac:dyDescent="0.45">
      <c r="A67">
        <v>1961.97</v>
      </c>
      <c r="B67" s="6">
        <v>1.0041599999999999</v>
      </c>
    </row>
    <row r="68" spans="1:2" x14ac:dyDescent="0.45">
      <c r="A68">
        <v>1962.14</v>
      </c>
      <c r="B68" s="6">
        <v>1.5233300000000001</v>
      </c>
    </row>
    <row r="69" spans="1:2" x14ac:dyDescent="0.45">
      <c r="A69">
        <v>1962.27</v>
      </c>
      <c r="B69" s="6">
        <v>1.5289600000000001</v>
      </c>
    </row>
    <row r="70" spans="1:2" x14ac:dyDescent="0.45">
      <c r="A70">
        <v>1962.38</v>
      </c>
      <c r="B70" s="6">
        <v>1.55202</v>
      </c>
    </row>
    <row r="71" spans="1:2" x14ac:dyDescent="0.45">
      <c r="A71">
        <v>1962.55</v>
      </c>
      <c r="B71" s="6">
        <v>1.1906699999999999</v>
      </c>
    </row>
    <row r="72" spans="1:2" x14ac:dyDescent="0.45">
      <c r="A72">
        <v>1962.83</v>
      </c>
      <c r="B72" s="6">
        <v>0.94542800000000005</v>
      </c>
    </row>
    <row r="73" spans="1:2" x14ac:dyDescent="0.45">
      <c r="A73">
        <v>1963.15</v>
      </c>
      <c r="B73" s="6">
        <v>1.7535499999999999</v>
      </c>
    </row>
    <row r="74" spans="1:2" x14ac:dyDescent="0.45">
      <c r="A74">
        <v>1963.24</v>
      </c>
      <c r="B74" s="6">
        <v>1.78976</v>
      </c>
    </row>
    <row r="75" spans="1:2" x14ac:dyDescent="0.45">
      <c r="A75">
        <v>1963.71</v>
      </c>
      <c r="B75" s="6">
        <v>1.1390499999999999</v>
      </c>
    </row>
    <row r="76" spans="1:2" x14ac:dyDescent="0.45">
      <c r="A76">
        <v>1963.83</v>
      </c>
      <c r="B76" s="6">
        <v>1.09145</v>
      </c>
    </row>
    <row r="77" spans="1:2" x14ac:dyDescent="0.45">
      <c r="A77">
        <v>1963.86</v>
      </c>
      <c r="B77" s="6">
        <v>1.6359600000000001</v>
      </c>
    </row>
    <row r="78" spans="1:2" x14ac:dyDescent="0.45">
      <c r="A78">
        <v>1964.05</v>
      </c>
      <c r="B78" s="6">
        <v>1.8012900000000001</v>
      </c>
    </row>
    <row r="79" spans="1:2" x14ac:dyDescent="0.45">
      <c r="A79">
        <v>1964.76</v>
      </c>
      <c r="B79" s="6">
        <v>1.0907800000000001</v>
      </c>
    </row>
    <row r="80" spans="1:2" x14ac:dyDescent="0.45">
      <c r="A80">
        <v>1964.95</v>
      </c>
      <c r="B80" s="6">
        <v>1.3712800000000001</v>
      </c>
    </row>
    <row r="81" spans="1:2" x14ac:dyDescent="0.45">
      <c r="A81">
        <v>1965.15</v>
      </c>
      <c r="B81" s="6">
        <v>1.47479</v>
      </c>
    </row>
    <row r="82" spans="1:2" x14ac:dyDescent="0.45">
      <c r="A82">
        <v>1965.42</v>
      </c>
      <c r="B82" s="6">
        <v>1.36216</v>
      </c>
    </row>
    <row r="83" spans="1:2" x14ac:dyDescent="0.45">
      <c r="A83">
        <v>1965.64</v>
      </c>
      <c r="B83" s="6">
        <v>1.06758</v>
      </c>
    </row>
    <row r="84" spans="1:2" x14ac:dyDescent="0.45">
      <c r="A84">
        <v>1965.74</v>
      </c>
      <c r="B84" s="6">
        <v>0.68356099999999997</v>
      </c>
    </row>
    <row r="85" spans="1:2" x14ac:dyDescent="0.45">
      <c r="A85">
        <v>1965.98</v>
      </c>
      <c r="B85" s="6">
        <v>0.85827299999999995</v>
      </c>
    </row>
    <row r="86" spans="1:2" x14ac:dyDescent="0.45">
      <c r="A86">
        <v>1966.05</v>
      </c>
      <c r="B86" s="6">
        <v>1.02695</v>
      </c>
    </row>
    <row r="87" spans="1:2" x14ac:dyDescent="0.45">
      <c r="A87">
        <v>1966.14</v>
      </c>
      <c r="B87" s="6">
        <v>1.0896999999999999</v>
      </c>
    </row>
    <row r="88" spans="1:2" x14ac:dyDescent="0.45">
      <c r="A88">
        <v>1966.44</v>
      </c>
      <c r="B88" s="6">
        <v>0.747251</v>
      </c>
    </row>
    <row r="89" spans="1:2" x14ac:dyDescent="0.45">
      <c r="A89">
        <v>1966.59</v>
      </c>
      <c r="B89" s="6">
        <v>0.32823799999999997</v>
      </c>
    </row>
    <row r="90" spans="1:2" x14ac:dyDescent="0.45">
      <c r="A90">
        <v>1966.71</v>
      </c>
      <c r="B90" s="6">
        <v>0.271789</v>
      </c>
    </row>
    <row r="91" spans="1:2" x14ac:dyDescent="0.45">
      <c r="A91">
        <v>1966.85</v>
      </c>
      <c r="B91" s="6">
        <v>0.45883600000000002</v>
      </c>
    </row>
    <row r="92" spans="1:2" x14ac:dyDescent="0.45">
      <c r="A92">
        <v>1966.94</v>
      </c>
      <c r="B92" s="6">
        <v>0.42424200000000001</v>
      </c>
    </row>
    <row r="93" spans="1:2" x14ac:dyDescent="0.45">
      <c r="A93">
        <v>1967.17</v>
      </c>
      <c r="B93" s="6">
        <v>0.908555</v>
      </c>
    </row>
    <row r="94" spans="1:2" x14ac:dyDescent="0.45">
      <c r="A94">
        <v>1967.29</v>
      </c>
      <c r="B94" s="6">
        <v>0.94060100000000002</v>
      </c>
    </row>
    <row r="95" spans="1:2" x14ac:dyDescent="0.45">
      <c r="A95">
        <v>1967.61</v>
      </c>
      <c r="B95" s="6">
        <v>0.48766399999999999</v>
      </c>
    </row>
    <row r="96" spans="1:2" x14ac:dyDescent="0.45">
      <c r="A96">
        <v>1967.62</v>
      </c>
      <c r="B96" s="6">
        <v>0</v>
      </c>
    </row>
    <row r="97" spans="1:2" x14ac:dyDescent="0.45">
      <c r="A97">
        <v>1967.89</v>
      </c>
      <c r="B97" s="6">
        <v>0</v>
      </c>
    </row>
    <row r="98" spans="1:2" x14ac:dyDescent="0.45">
      <c r="A98">
        <v>1967.89</v>
      </c>
      <c r="B98" s="6">
        <v>0.2203</v>
      </c>
    </row>
    <row r="99" spans="1:2" x14ac:dyDescent="0.45">
      <c r="A99">
        <v>1968.06</v>
      </c>
      <c r="B99" s="6">
        <v>0.243899</v>
      </c>
    </row>
    <row r="100" spans="1:2" x14ac:dyDescent="0.45">
      <c r="A100">
        <v>1968.12</v>
      </c>
      <c r="B100" s="6">
        <v>0</v>
      </c>
    </row>
    <row r="101" spans="1:2" x14ac:dyDescent="0.45">
      <c r="A101">
        <v>1968.73</v>
      </c>
      <c r="B101" s="6">
        <v>0</v>
      </c>
    </row>
    <row r="102" spans="1:2" x14ac:dyDescent="0.45">
      <c r="A102">
        <v>1968.89</v>
      </c>
      <c r="B102" s="6">
        <v>1.1317999999999999</v>
      </c>
    </row>
    <row r="103" spans="1:2" x14ac:dyDescent="0.45">
      <c r="A103">
        <v>1969.08</v>
      </c>
      <c r="B103" s="6">
        <v>1.29271</v>
      </c>
    </row>
    <row r="104" spans="1:2" x14ac:dyDescent="0.45">
      <c r="A104">
        <v>1969.5</v>
      </c>
      <c r="B104" s="6">
        <v>0.92477900000000002</v>
      </c>
    </row>
    <row r="105" spans="1:2" x14ac:dyDescent="0.45">
      <c r="A105">
        <v>1969.61</v>
      </c>
      <c r="B105" s="6">
        <v>0.56730999999999998</v>
      </c>
    </row>
    <row r="106" spans="1:2" x14ac:dyDescent="0.45">
      <c r="A106">
        <v>1969.77</v>
      </c>
      <c r="B106" s="6">
        <v>0.55993599999999999</v>
      </c>
    </row>
    <row r="107" spans="1:2" x14ac:dyDescent="0.45">
      <c r="A107">
        <v>1969.88</v>
      </c>
      <c r="B107" s="6">
        <v>1.3307899999999999</v>
      </c>
    </row>
    <row r="108" spans="1:2" x14ac:dyDescent="0.45">
      <c r="A108">
        <v>1969.97</v>
      </c>
      <c r="B108" s="6">
        <v>1.4068099999999999</v>
      </c>
    </row>
    <row r="109" spans="1:2" x14ac:dyDescent="0.45">
      <c r="A109">
        <v>1970.35</v>
      </c>
      <c r="B109" s="6">
        <v>0.91458799999999996</v>
      </c>
    </row>
    <row r="110" spans="1:2" x14ac:dyDescent="0.45">
      <c r="A110">
        <v>1970.52</v>
      </c>
      <c r="B110" s="6">
        <v>0.83199199999999995</v>
      </c>
    </row>
    <row r="111" spans="1:2" x14ac:dyDescent="0.45">
      <c r="A111">
        <v>1970.61</v>
      </c>
      <c r="B111" s="6">
        <v>0.50536300000000001</v>
      </c>
    </row>
    <row r="112" spans="1:2" x14ac:dyDescent="0.45">
      <c r="A112">
        <v>1970.76</v>
      </c>
      <c r="B112" s="6">
        <v>0.78988999999999998</v>
      </c>
    </row>
    <row r="113" spans="1:2" x14ac:dyDescent="0.45">
      <c r="A113">
        <v>1970.97</v>
      </c>
      <c r="B113" s="6">
        <v>1.7696400000000001</v>
      </c>
    </row>
    <row r="114" spans="1:2" x14ac:dyDescent="0.45">
      <c r="A114">
        <v>1971.36</v>
      </c>
      <c r="B114" s="6">
        <v>1.3306500000000001</v>
      </c>
    </row>
    <row r="115" spans="1:2" x14ac:dyDescent="0.45">
      <c r="A115">
        <v>1971.67</v>
      </c>
      <c r="B115" s="6">
        <v>0.75811200000000001</v>
      </c>
    </row>
    <row r="116" spans="1:2" x14ac:dyDescent="0.45">
      <c r="A116" s="7">
        <v>1971.86</v>
      </c>
      <c r="B116" s="8">
        <v>0.78640399999999999</v>
      </c>
    </row>
    <row r="117" spans="1:2" x14ac:dyDescent="0.45">
      <c r="A117">
        <v>1971.98</v>
      </c>
      <c r="B117" s="6">
        <v>1.2476499999999999</v>
      </c>
    </row>
    <row r="118" spans="1:2" x14ac:dyDescent="0.45">
      <c r="A118">
        <v>1972.09</v>
      </c>
      <c r="B118" s="6">
        <v>1.24417</v>
      </c>
    </row>
    <row r="119" spans="1:2" x14ac:dyDescent="0.45">
      <c r="A119">
        <v>1972.47</v>
      </c>
      <c r="B119" s="6">
        <v>0.791767</v>
      </c>
    </row>
    <row r="120" spans="1:2" x14ac:dyDescent="0.45">
      <c r="A120">
        <v>1972.73</v>
      </c>
      <c r="B120" s="6">
        <v>0</v>
      </c>
    </row>
    <row r="121" spans="1:2" x14ac:dyDescent="0.45">
      <c r="A121">
        <v>1973.76</v>
      </c>
      <c r="B121" s="6">
        <v>0</v>
      </c>
    </row>
    <row r="122" spans="1:2" x14ac:dyDescent="0.45">
      <c r="A122">
        <v>1974</v>
      </c>
      <c r="B122" s="9">
        <v>1.14602</v>
      </c>
    </row>
    <row r="123" spans="1:2" x14ac:dyDescent="0.45">
      <c r="A123">
        <v>1974.23</v>
      </c>
      <c r="B123" s="9">
        <v>2.2586499999999998</v>
      </c>
    </row>
    <row r="124" spans="1:2" x14ac:dyDescent="0.45">
      <c r="A124">
        <v>1974.35</v>
      </c>
      <c r="B124" s="9">
        <v>2.0207799999999998</v>
      </c>
    </row>
    <row r="125" spans="1:2" x14ac:dyDescent="0.45">
      <c r="A125">
        <v>1974.53</v>
      </c>
      <c r="B125" s="9">
        <v>2.0887600000000002</v>
      </c>
    </row>
    <row r="126" spans="1:2" x14ac:dyDescent="0.45">
      <c r="A126">
        <v>1974.61</v>
      </c>
      <c r="B126" s="9">
        <v>1.8460700000000001</v>
      </c>
    </row>
    <row r="127" spans="1:2" x14ac:dyDescent="0.45">
      <c r="A127">
        <v>1974.79</v>
      </c>
      <c r="B127" s="9">
        <v>1.7813099999999999</v>
      </c>
    </row>
    <row r="128" spans="1:2" x14ac:dyDescent="0.45">
      <c r="A128">
        <v>1974.92</v>
      </c>
      <c r="B128" s="9">
        <v>1.8002100000000001</v>
      </c>
    </row>
    <row r="129" spans="1:2" x14ac:dyDescent="0.45">
      <c r="A129">
        <v>1975</v>
      </c>
      <c r="B129" s="6">
        <v>1.9867300000000001</v>
      </c>
    </row>
    <row r="130" spans="1:2" x14ac:dyDescent="0.45">
      <c r="A130">
        <v>1975.09</v>
      </c>
      <c r="B130" s="6">
        <v>1.9477100000000001</v>
      </c>
    </row>
    <row r="131" spans="1:2" x14ac:dyDescent="0.45">
      <c r="A131">
        <v>1975.44</v>
      </c>
      <c r="B131" s="6">
        <v>1.5437099999999999</v>
      </c>
    </row>
    <row r="132" spans="1:2" x14ac:dyDescent="0.45">
      <c r="A132">
        <v>1975.64</v>
      </c>
      <c r="B132" s="6">
        <v>1.16492</v>
      </c>
    </row>
    <row r="133" spans="1:2" x14ac:dyDescent="0.45">
      <c r="A133">
        <v>1975.74</v>
      </c>
      <c r="B133" s="6">
        <v>1.1260399999999999</v>
      </c>
    </row>
    <row r="134" spans="1:2" x14ac:dyDescent="0.45">
      <c r="A134">
        <v>1975.85</v>
      </c>
      <c r="B134" s="6">
        <v>1.3216699999999999</v>
      </c>
    </row>
    <row r="135" spans="1:2" x14ac:dyDescent="0.45">
      <c r="A135">
        <v>1976.06</v>
      </c>
      <c r="B135" s="6">
        <v>1.9253199999999999</v>
      </c>
    </row>
    <row r="136" spans="1:2" x14ac:dyDescent="0.45">
      <c r="A136">
        <v>1976.15</v>
      </c>
      <c r="B136" s="6">
        <v>2.5146199999999999</v>
      </c>
    </row>
    <row r="137" spans="1:2" x14ac:dyDescent="0.45">
      <c r="A137">
        <v>1976.44</v>
      </c>
      <c r="B137" s="6">
        <v>2.3976899999999999</v>
      </c>
    </row>
    <row r="138" spans="1:2" x14ac:dyDescent="0.45">
      <c r="A138">
        <v>1976.59</v>
      </c>
      <c r="B138" s="6">
        <v>2.06718</v>
      </c>
    </row>
    <row r="139" spans="1:2" x14ac:dyDescent="0.45">
      <c r="A139">
        <v>1976.74</v>
      </c>
      <c r="B139" s="6">
        <v>1.94462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B4324-DAE2-4D42-87E0-ACF814584E93}">
  <dimension ref="A1:B47"/>
  <sheetViews>
    <sheetView topLeftCell="A24" workbookViewId="0">
      <selection activeCell="B47" sqref="A47:B47"/>
    </sheetView>
  </sheetViews>
  <sheetFormatPr defaultRowHeight="14.25" x14ac:dyDescent="0.45"/>
  <sheetData>
    <row r="1" spans="1:2" ht="18" x14ac:dyDescent="0.55000000000000004">
      <c r="A1" t="s">
        <v>3</v>
      </c>
      <c r="B1" s="13" t="s">
        <v>9</v>
      </c>
    </row>
    <row r="2" spans="1:2" x14ac:dyDescent="0.45">
      <c r="A2" s="14">
        <v>1962</v>
      </c>
      <c r="B2" s="15">
        <v>576.15099999999995</v>
      </c>
    </row>
    <row r="3" spans="1:2" x14ac:dyDescent="0.45">
      <c r="A3" s="14">
        <v>1963</v>
      </c>
      <c r="B3" s="15">
        <v>3317.57</v>
      </c>
    </row>
    <row r="4" spans="1:2" x14ac:dyDescent="0.45">
      <c r="A4" s="14">
        <v>1964</v>
      </c>
      <c r="B4" s="15">
        <v>5418.26</v>
      </c>
    </row>
    <row r="5" spans="1:2" x14ac:dyDescent="0.45">
      <c r="A5" s="14">
        <v>1965</v>
      </c>
      <c r="B5" s="15">
        <v>8891.94</v>
      </c>
    </row>
    <row r="6" spans="1:2" x14ac:dyDescent="0.45">
      <c r="A6" s="14">
        <v>1966</v>
      </c>
      <c r="B6" s="15">
        <v>7423.85</v>
      </c>
    </row>
    <row r="7" spans="1:2" x14ac:dyDescent="0.45">
      <c r="A7" s="14">
        <v>1967</v>
      </c>
      <c r="B7" s="15">
        <v>3299.77</v>
      </c>
    </row>
    <row r="8" spans="1:2" x14ac:dyDescent="0.45">
      <c r="A8" s="14">
        <v>1968</v>
      </c>
      <c r="B8" s="15">
        <v>91.533199999999994</v>
      </c>
    </row>
    <row r="9" spans="1:2" x14ac:dyDescent="0.45">
      <c r="A9" s="14">
        <v>1969</v>
      </c>
      <c r="B9" s="15">
        <v>3473.18</v>
      </c>
    </row>
    <row r="10" spans="1:2" x14ac:dyDescent="0.45">
      <c r="A10" s="14">
        <v>1970</v>
      </c>
      <c r="B10" s="15">
        <v>4291.8900000000003</v>
      </c>
    </row>
    <row r="11" spans="1:2" x14ac:dyDescent="0.45">
      <c r="A11" s="14">
        <v>1971</v>
      </c>
      <c r="B11" s="15">
        <v>3464.02</v>
      </c>
    </row>
    <row r="12" spans="1:2" x14ac:dyDescent="0.45">
      <c r="A12" s="14">
        <v>1972</v>
      </c>
      <c r="B12" s="15">
        <v>5198.58</v>
      </c>
    </row>
    <row r="13" spans="1:2" x14ac:dyDescent="0.45">
      <c r="A13" s="14">
        <v>1973</v>
      </c>
      <c r="B13" s="15">
        <v>2082.38</v>
      </c>
    </row>
    <row r="14" spans="1:2" x14ac:dyDescent="0.45">
      <c r="A14" s="14">
        <v>1974</v>
      </c>
      <c r="B14" s="15">
        <v>3176.2</v>
      </c>
    </row>
    <row r="15" spans="1:2" x14ac:dyDescent="0.45">
      <c r="A15" s="14">
        <v>1975</v>
      </c>
      <c r="B15" s="15">
        <v>2438.34</v>
      </c>
    </row>
    <row r="16" spans="1:2" x14ac:dyDescent="0.45">
      <c r="A16" s="14">
        <v>1976</v>
      </c>
      <c r="B16" s="15">
        <v>19734</v>
      </c>
    </row>
    <row r="17" spans="1:2" x14ac:dyDescent="0.45">
      <c r="A17" s="14">
        <v>1977</v>
      </c>
      <c r="B17" s="15">
        <v>21010.9</v>
      </c>
    </row>
    <row r="18" spans="1:2" x14ac:dyDescent="0.45">
      <c r="A18" s="14">
        <v>1978</v>
      </c>
      <c r="B18" s="15">
        <v>19725.900000000001</v>
      </c>
    </row>
    <row r="19" spans="1:2" x14ac:dyDescent="0.45">
      <c r="A19" s="14">
        <v>1979</v>
      </c>
      <c r="B19" s="15">
        <v>22740.9</v>
      </c>
    </row>
    <row r="20" spans="1:2" x14ac:dyDescent="0.45">
      <c r="A20" s="14">
        <v>1980</v>
      </c>
      <c r="B20" s="15">
        <v>16787.7</v>
      </c>
    </row>
    <row r="21" spans="1:2" x14ac:dyDescent="0.45">
      <c r="A21" s="14">
        <v>1981</v>
      </c>
      <c r="B21" s="15">
        <v>8453.6</v>
      </c>
    </row>
    <row r="22" spans="1:2" x14ac:dyDescent="0.45">
      <c r="A22" s="14">
        <v>1982</v>
      </c>
      <c r="B22" s="15">
        <v>15313.5</v>
      </c>
    </row>
    <row r="23" spans="1:2" x14ac:dyDescent="0.45">
      <c r="A23" s="14">
        <v>1983</v>
      </c>
      <c r="B23" s="15">
        <v>14485.1</v>
      </c>
    </row>
    <row r="24" spans="1:2" x14ac:dyDescent="0.45">
      <c r="A24" s="14">
        <v>1984</v>
      </c>
      <c r="B24" s="15">
        <v>12649.4</v>
      </c>
    </row>
    <row r="25" spans="1:2" x14ac:dyDescent="0.45">
      <c r="A25" s="14">
        <v>1985</v>
      </c>
      <c r="B25" s="15">
        <v>12919.9</v>
      </c>
    </row>
    <row r="26" spans="1:2" x14ac:dyDescent="0.45">
      <c r="A26" s="14">
        <v>1986</v>
      </c>
      <c r="B26" s="15">
        <v>13647.6</v>
      </c>
    </row>
    <row r="27" spans="1:2" x14ac:dyDescent="0.45">
      <c r="A27" s="14">
        <v>1987</v>
      </c>
      <c r="B27" s="15">
        <v>7785.41</v>
      </c>
    </row>
    <row r="28" spans="1:2" x14ac:dyDescent="0.45">
      <c r="A28" s="14">
        <v>1988</v>
      </c>
      <c r="B28" s="15">
        <v>6315.79</v>
      </c>
    </row>
    <row r="29" spans="1:2" x14ac:dyDescent="0.45">
      <c r="A29" s="14">
        <v>1989</v>
      </c>
      <c r="B29" s="15">
        <v>7134.5</v>
      </c>
    </row>
    <row r="30" spans="1:2" x14ac:dyDescent="0.45">
      <c r="A30" s="14">
        <v>1990</v>
      </c>
      <c r="B30" s="15">
        <v>23330.799999999999</v>
      </c>
    </row>
    <row r="31" spans="1:2" x14ac:dyDescent="0.45">
      <c r="A31" s="14">
        <v>1991</v>
      </c>
      <c r="B31" s="15">
        <v>7217.39</v>
      </c>
    </row>
    <row r="32" spans="1:2" x14ac:dyDescent="0.45">
      <c r="A32" s="14">
        <v>1992</v>
      </c>
      <c r="B32" s="15">
        <v>10234.4</v>
      </c>
    </row>
    <row r="33" spans="1:2" x14ac:dyDescent="0.45">
      <c r="A33" s="14">
        <v>1993</v>
      </c>
      <c r="B33" s="15">
        <v>10687</v>
      </c>
    </row>
    <row r="34" spans="1:2" x14ac:dyDescent="0.45">
      <c r="A34" s="14">
        <v>1994</v>
      </c>
      <c r="B34" s="15">
        <v>9766.08</v>
      </c>
    </row>
    <row r="35" spans="1:2" x14ac:dyDescent="0.45">
      <c r="A35" s="14">
        <v>1995</v>
      </c>
      <c r="B35" s="15">
        <v>1523.52</v>
      </c>
    </row>
    <row r="36" spans="1:2" x14ac:dyDescent="0.45">
      <c r="A36" s="14">
        <v>1996</v>
      </c>
      <c r="B36" s="15">
        <v>4351.8900000000003</v>
      </c>
    </row>
    <row r="37" spans="1:2" x14ac:dyDescent="0.45">
      <c r="A37" s="14">
        <v>1997</v>
      </c>
      <c r="B37" s="15">
        <v>5080.09</v>
      </c>
    </row>
    <row r="38" spans="1:2" x14ac:dyDescent="0.45">
      <c r="A38" s="14">
        <v>1998</v>
      </c>
      <c r="B38" s="15">
        <v>12306.1</v>
      </c>
    </row>
    <row r="39" spans="1:2" x14ac:dyDescent="0.45">
      <c r="A39" s="14">
        <v>1999</v>
      </c>
      <c r="B39" s="15">
        <v>14774.5</v>
      </c>
    </row>
    <row r="40" spans="1:2" x14ac:dyDescent="0.45">
      <c r="A40" s="14">
        <v>2000</v>
      </c>
      <c r="B40" s="15">
        <v>7904.4</v>
      </c>
    </row>
    <row r="41" spans="1:2" x14ac:dyDescent="0.45">
      <c r="A41" s="14">
        <v>2001</v>
      </c>
      <c r="B41" s="15">
        <v>6160.69</v>
      </c>
    </row>
    <row r="42" spans="1:2" x14ac:dyDescent="0.45">
      <c r="A42" s="14">
        <v>2002</v>
      </c>
      <c r="B42" s="15">
        <v>6796.34</v>
      </c>
    </row>
    <row r="43" spans="1:2" x14ac:dyDescent="0.45">
      <c r="A43" s="14">
        <v>2003</v>
      </c>
      <c r="B43" s="15">
        <v>7157.39</v>
      </c>
    </row>
    <row r="44" spans="1:2" x14ac:dyDescent="0.45">
      <c r="A44" s="14">
        <v>2004</v>
      </c>
      <c r="B44" s="15">
        <v>5963.9</v>
      </c>
    </row>
    <row r="45" spans="1:2" x14ac:dyDescent="0.45">
      <c r="A45" s="14">
        <v>2005</v>
      </c>
      <c r="B45" s="15">
        <v>4952.96</v>
      </c>
    </row>
    <row r="46" spans="1:2" x14ac:dyDescent="0.45">
      <c r="A46" s="14">
        <v>2006</v>
      </c>
      <c r="B46" s="15">
        <v>5862.7</v>
      </c>
    </row>
    <row r="47" spans="1:2" x14ac:dyDescent="0.45">
      <c r="A47" s="14">
        <v>2007</v>
      </c>
      <c r="B47" s="15">
        <v>5858.63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ChilwaBasinMonthlyDataset</vt:lpstr>
      <vt:lpstr>Cyclons</vt:lpstr>
      <vt:lpstr>CyclonSummary</vt:lpstr>
      <vt:lpstr>Lake_Level_Depth_Area_Volume</vt:lpstr>
      <vt:lpstr>Depth_Sattelite</vt:lpstr>
      <vt:lpstr>MeanAnnualDepthMacuiane_2011</vt:lpstr>
      <vt:lpstr>Depth_Kalk_1979</vt:lpstr>
      <vt:lpstr>TotalCatch_Njaya_2011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2025-09-29T22:57:56Z</dcterms:modified>
</cp:coreProperties>
</file>